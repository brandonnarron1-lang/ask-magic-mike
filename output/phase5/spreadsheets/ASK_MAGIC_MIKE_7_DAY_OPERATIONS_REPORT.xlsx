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Metrics" sheetId="2" state="visible" r:id="rId2"/>
    <sheet xmlns:r="http://schemas.openxmlformats.org/officeDocument/2006/relationships" name="Operating Review" sheetId="3" state="visible" r:id="rId3"/>
  </sheets>
  <definedNames>
    <definedName name="_xlnm.Print_Area" localSheetId="0">'Executive Summary'!$A$1:$H$19</definedName>
    <definedName name="_xlnm._FilterDatabase" localSheetId="1" hidden="1">'Daily Metrics'!$A$4:$R$11</definedName>
    <definedName name="_xlnm.Print_Titles" localSheetId="1">'Daily Metrics'!$1:$4</definedName>
    <definedName name="_xlnm.Print_Area" localSheetId="1">'Daily Metrics'!$A$1:$R$11</definedName>
    <definedName name="_xlnm._FilterDatabase" localSheetId="2" hidden="1">'Operating Review'!$A$4:$E$10</definedName>
    <definedName name="_xlnm.Print_Titles" localSheetId="2">'Operating Review'!$1:$4</definedName>
    <definedName name="_xlnm.Print_Area" localSheetId="2">'Operating Review'!$A$1:$E$10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Seven-Day Operational Outcomes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Metrics'!D4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Metrics'!$A$5:$A$11</f>
            </numRef>
          </cat>
          <val>
            <numRef>
              <f>'Daily Metrics'!$D$5:$D$11</f>
            </numRef>
          </val>
        </ser>
        <ser>
          <idx val="1"/>
          <order val="1"/>
          <tx>
            <strRef>
              <f>'Daily Metrics'!E4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Metrics'!$A$5:$A$11</f>
            </numRef>
          </cat>
          <val>
            <numRef>
              <f>'Daily Metrics'!$E$5:$E$11</f>
            </numRef>
          </val>
        </ser>
        <ser>
          <idx val="2"/>
          <order val="2"/>
          <tx>
            <strRef>
              <f>'Daily Metrics'!F4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Metrics'!$A$5:$A$11</f>
            </numRef>
          </cat>
          <val>
            <numRef>
              <f>'Daily Metrics'!$F$5:$F$11</f>
            </numRef>
          </val>
        </ser>
        <ser>
          <idx val="3"/>
          <order val="3"/>
          <tx>
            <strRef>
              <f>'Daily Metrics'!G4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Metrics'!$A$5:$A$11</f>
            </numRef>
          </cat>
          <val>
            <numRef>
              <f>'Daily Metrics'!$G$5:$G$11</f>
            </numRef>
          </val>
        </ser>
        <ser>
          <idx val="4"/>
          <order val="4"/>
          <tx>
            <strRef>
              <f>'Daily Metrics'!H4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Metrics'!$A$5:$A$11</f>
            </numRef>
          </cat>
          <val>
            <numRef>
              <f>'Daily Metrics'!$H$5:$H$11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Ask Magic Mike Seven-Day Operations Report</t>
        </is>
      </c>
    </row>
    <row r="2" ht="30" customHeight="1">
      <c r="A2" s="2" t="inlineStr">
        <is>
          <t>Formula-driven operating review. Test and suppressed rows are excluded from every live KPI.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Genuine leads</t>
        </is>
      </c>
      <c r="B7" s="4">
        <f>SUMIFS('Daily Metrics'!D5:D11,'Daily Metrics'!B5:B11,"LIVE",'Daily Metrics'!C5:C11,"NOT SUPPRESSED")</f>
        <v/>
      </c>
    </row>
    <row r="8">
      <c r="A8" s="3" t="inlineStr">
        <is>
          <t>Qualified leads</t>
        </is>
      </c>
      <c r="B8" s="4">
        <f>SUM('Daily Metrics'!E5:E11)</f>
        <v/>
      </c>
    </row>
    <row r="9">
      <c r="A9" s="3" t="inlineStr">
        <is>
          <t>Contacted leads</t>
        </is>
      </c>
      <c r="B9" s="4">
        <f>SUM('Daily Metrics'!F5:F11)</f>
        <v/>
      </c>
    </row>
    <row r="10">
      <c r="A10" s="3" t="inlineStr">
        <is>
          <t>Appointments</t>
        </is>
      </c>
      <c r="B10" s="4">
        <f>SUM('Daily Metrics'!G5:G11)</f>
        <v/>
      </c>
    </row>
    <row r="11">
      <c r="A11" s="3" t="inlineStr">
        <is>
          <t>Signed clients</t>
        </is>
      </c>
      <c r="B11" s="4">
        <f>SUM('Daily Metrics'!H5:H11)</f>
        <v/>
      </c>
    </row>
    <row r="12">
      <c r="A12" s="3" t="inlineStr">
        <is>
          <t>Active canonical forms</t>
        </is>
      </c>
      <c r="B12" s="4">
        <f>MAX('Daily Metrics'!I5:I11)</f>
        <v/>
      </c>
    </row>
    <row r="13">
      <c r="A13" s="3" t="inlineStr">
        <is>
          <t>Average assignment seconds</t>
        </is>
      </c>
      <c r="B13" s="4">
        <f>IFERROR(AVERAGEIF('Daily Metrics'!D5:D11,"&gt;0",'Daily Metrics'!K5:K11),0)</f>
        <v/>
      </c>
    </row>
    <row r="14">
      <c r="A14" s="3" t="inlineStr">
        <is>
          <t>Average first-contact seconds</t>
        </is>
      </c>
      <c r="B14" s="4">
        <f>IFERROR(AVERAGEIF('Daily Metrics'!D5:D11,"&gt;0",'Daily Metrics'!L5:L11),0)</f>
        <v/>
      </c>
    </row>
    <row r="15">
      <c r="A15" s="3" t="inlineStr">
        <is>
          <t>Notification failures</t>
        </is>
      </c>
      <c r="B15" s="4">
        <f>SUM('Daily Metrics'!M5:M11)</f>
        <v/>
      </c>
    </row>
    <row r="16">
      <c r="A16" s="3" t="inlineStr">
        <is>
          <t>Duplicate rate</t>
        </is>
      </c>
      <c r="B16" s="5">
        <f>IFERROR(SUM('Daily Metrics'!N5:N11)/B7,0)</f>
        <v/>
      </c>
    </row>
    <row r="17">
      <c r="A17" s="3" t="inlineStr">
        <is>
          <t>Unassigned rate</t>
        </is>
      </c>
      <c r="B17" s="5">
        <f>IFERROR(SUM('Daily Metrics'!O5:O11)/B7,0)</f>
        <v/>
      </c>
    </row>
    <row r="18">
      <c r="A18" s="3" t="inlineStr">
        <is>
          <t>SLA breaches</t>
        </is>
      </c>
      <c r="B18" s="4">
        <f>SUM('Daily Metrics'!P5:P11)</f>
        <v/>
      </c>
    </row>
    <row r="19">
      <c r="A19" s="3" t="inlineStr">
        <is>
          <t>Published owned assets</t>
        </is>
      </c>
      <c r="B19" s="4">
        <f>SUM('Daily Metrics'!Q5:Q11)</f>
        <v/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  <col width="28" customWidth="1" min="10" max="10"/>
    <col width="28" customWidth="1" min="11" max="11"/>
    <col width="30" customWidth="1" min="12" max="12"/>
    <col width="24" customWidth="1" min="13" max="13"/>
    <col width="16" customWidth="1" min="14" max="14"/>
    <col width="18" customWidth="1" min="15" max="15"/>
    <col width="18" customWidth="1" min="16" max="16"/>
    <col width="28" customWidth="1" min="17" max="17"/>
    <col width="55" customWidth="1" min="18" max="18"/>
  </cols>
  <sheetData>
    <row r="1" ht="32" customHeight="1">
      <c r="A1" s="6" t="inlineStr">
        <is>
          <t>Daily Metrics</t>
        </is>
      </c>
    </row>
    <row r="2" ht="28" customHeight="1">
      <c r="A2" s="7" t="inlineStr">
        <is>
          <t>Enter actual observed outcomes only; no forecasts in actual columns.</t>
        </is>
      </c>
    </row>
    <row r="4" ht="34" customHeight="1">
      <c r="A4" s="8" t="inlineStr">
        <is>
          <t>Day</t>
        </is>
      </c>
      <c r="B4" s="8" t="inlineStr">
        <is>
          <t>Classification</t>
        </is>
      </c>
      <c r="C4" s="8" t="inlineStr">
        <is>
          <t>Suppression</t>
        </is>
      </c>
      <c r="D4" s="8" t="inlineStr">
        <is>
          <t>Genuine leads</t>
        </is>
      </c>
      <c r="E4" s="8" t="inlineStr">
        <is>
          <t>Qualified</t>
        </is>
      </c>
      <c r="F4" s="8" t="inlineStr">
        <is>
          <t>Contacted</t>
        </is>
      </c>
      <c r="G4" s="8" t="inlineStr">
        <is>
          <t>Appointments</t>
        </is>
      </c>
      <c r="H4" s="8" t="inlineStr">
        <is>
          <t>Signed clients</t>
        </is>
      </c>
      <c r="I4" s="8" t="inlineStr">
        <is>
          <t>Active canonical forms</t>
        </is>
      </c>
      <c r="J4" s="8" t="inlineStr">
        <is>
          <t>Top source</t>
        </is>
      </c>
      <c r="K4" s="8" t="inlineStr">
        <is>
          <t>Average assignment seconds</t>
        </is>
      </c>
      <c r="L4" s="8" t="inlineStr">
        <is>
          <t>Average first-contact seconds</t>
        </is>
      </c>
      <c r="M4" s="8" t="inlineStr">
        <is>
          <t>Notification failures</t>
        </is>
      </c>
      <c r="N4" s="8" t="inlineStr">
        <is>
          <t>Duplicates</t>
        </is>
      </c>
      <c r="O4" s="8" t="inlineStr">
        <is>
          <t>Unassigned</t>
        </is>
      </c>
      <c r="P4" s="8" t="inlineStr">
        <is>
          <t>SLA breaches</t>
        </is>
      </c>
      <c r="Q4" s="8" t="inlineStr">
        <is>
          <t>Published owned assets</t>
        </is>
      </c>
      <c r="R4" s="8" t="inlineStr">
        <is>
          <t>Notes</t>
        </is>
      </c>
    </row>
    <row r="5" ht="34" customHeight="1">
      <c r="A5" s="9" t="inlineStr">
        <is>
          <t>Day 1</t>
        </is>
      </c>
      <c r="B5" s="10" t="inlineStr">
        <is>
          <t>LIVE</t>
        </is>
      </c>
      <c r="C5" s="10" t="inlineStr">
        <is>
          <t>NOT SUPPRESSED</t>
        </is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1</v>
      </c>
      <c r="J5" s="10" t="inlineStr"/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9" t="inlineStr"/>
    </row>
    <row r="6" ht="34" customHeight="1">
      <c r="A6" s="11" t="inlineStr">
        <is>
          <t>Day 2</t>
        </is>
      </c>
      <c r="B6" s="10" t="inlineStr">
        <is>
          <t>LIVE</t>
        </is>
      </c>
      <c r="C6" s="10" t="inlineStr">
        <is>
          <t>NOT SUPPRESSED</t>
        </is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1</v>
      </c>
      <c r="J6" s="10" t="inlineStr"/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1" t="inlineStr"/>
    </row>
    <row r="7" ht="34" customHeight="1">
      <c r="A7" s="9" t="inlineStr">
        <is>
          <t>Day 3</t>
        </is>
      </c>
      <c r="B7" s="10" t="inlineStr">
        <is>
          <t>LIVE</t>
        </is>
      </c>
      <c r="C7" s="10" t="inlineStr">
        <is>
          <t>NOT SUPPRESSED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1</v>
      </c>
      <c r="J7" s="10" t="inlineStr"/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9" t="inlineStr"/>
    </row>
    <row r="8" ht="34" customHeight="1">
      <c r="A8" s="11" t="inlineStr">
        <is>
          <t>Day 4</t>
        </is>
      </c>
      <c r="B8" s="10" t="inlineStr">
        <is>
          <t>LIVE</t>
        </is>
      </c>
      <c r="C8" s="10" t="inlineStr">
        <is>
          <t>NOT SUPPRESSED</t>
        </is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1</v>
      </c>
      <c r="J8" s="10" t="inlineStr"/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1" t="inlineStr"/>
    </row>
    <row r="9" ht="34" customHeight="1">
      <c r="A9" s="9" t="inlineStr">
        <is>
          <t>Day 5</t>
        </is>
      </c>
      <c r="B9" s="10" t="inlineStr">
        <is>
          <t>LIVE</t>
        </is>
      </c>
      <c r="C9" s="10" t="inlineStr">
        <is>
          <t>NOT SUPPRESSED</t>
        </is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1</v>
      </c>
      <c r="J9" s="10" t="inlineStr"/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9" t="inlineStr"/>
    </row>
    <row r="10" ht="34" customHeight="1">
      <c r="A10" s="11" t="inlineStr">
        <is>
          <t>Day 6</t>
        </is>
      </c>
      <c r="B10" s="10" t="inlineStr">
        <is>
          <t>LIVE</t>
        </is>
      </c>
      <c r="C10" s="10" t="inlineStr">
        <is>
          <t>NOT SUPPRESSED</t>
        </is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1</v>
      </c>
      <c r="J10" s="10" t="inlineStr"/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1" t="inlineStr"/>
    </row>
    <row r="11" ht="34" customHeight="1">
      <c r="A11" s="9" t="inlineStr">
        <is>
          <t>Day 7</t>
        </is>
      </c>
      <c r="B11" s="10" t="inlineStr">
        <is>
          <t>LIVE</t>
        </is>
      </c>
      <c r="C11" s="10" t="inlineStr">
        <is>
          <t>NOT SUPPRESSED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1</v>
      </c>
      <c r="J11" s="10" t="inlineStr"/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9" t="inlineStr"/>
    </row>
  </sheetData>
  <autoFilter ref="A4:R11"/>
  <mergeCells count="2">
    <mergeCell ref="A2:R2"/>
    <mergeCell ref="A1:R1"/>
  </mergeCells>
  <dataValidations count="2">
    <dataValidation sqref="B5:B11" showDropDown="0" showInputMessage="0" showErrorMessage="0" allowBlank="0" type="list">
      <formula1>"LIVE,QA"</formula1>
    </dataValidation>
    <dataValidation sqref="C5:C11" showDropDown="0" showInputMessage="0" showErrorMessage="0" allowBlank="0" type="list">
      <formula1>"NOT SUPPRESSED,SUPPRESSED"</formula1>
    </dataValidation>
  </dataValidations>
  <printOptions horizontalCentered="1"/>
  <pageMargins left="0.25" right="0.25" top="0.35" bottom="0.35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62" customWidth="1" min="2" max="2"/>
    <col width="48" customWidth="1" min="3" max="3"/>
    <col width="24" customWidth="1" min="4" max="4"/>
    <col width="16" customWidth="1" min="5" max="5"/>
  </cols>
  <sheetData>
    <row r="1" ht="32" customHeight="1">
      <c r="A1" s="6" t="inlineStr">
        <is>
          <t>Seven-Day Review</t>
        </is>
      </c>
    </row>
    <row r="2" ht="28" customHeight="1">
      <c r="A2" s="7" t="inlineStr">
        <is>
          <t>Use evidence-backed answers; distinguish verified facts, owner decisions, and hypotheses.</t>
        </is>
      </c>
    </row>
    <row r="4" ht="34" customHeight="1">
      <c r="A4" s="8" t="inlineStr">
        <is>
          <t>Question</t>
        </is>
      </c>
      <c r="B4" s="8" t="inlineStr">
        <is>
          <t>Answer</t>
        </is>
      </c>
      <c r="C4" s="8" t="inlineStr">
        <is>
          <t>Evidence</t>
        </is>
      </c>
      <c r="D4" s="8" t="inlineStr">
        <is>
          <t>Owner</t>
        </is>
      </c>
      <c r="E4" s="8" t="inlineStr">
        <is>
          <t>Status</t>
        </is>
      </c>
    </row>
    <row r="5" ht="34" customHeight="1">
      <c r="A5" s="9" t="inlineStr">
        <is>
          <t>Did every genuine lead persist before notification?</t>
        </is>
      </c>
      <c r="B5" s="9" t="inlineStr"/>
      <c r="C5" s="9" t="inlineStr"/>
      <c r="D5" s="9" t="inlineStr">
        <is>
          <t>Administrator</t>
        </is>
      </c>
      <c r="E5" s="9" t="inlineStr">
        <is>
          <t>PENDING</t>
        </is>
      </c>
    </row>
    <row r="6" ht="34" customHeight="1">
      <c r="A6" s="11" t="inlineStr">
        <is>
          <t>Were assignment and first-contact targets met?</t>
        </is>
      </c>
      <c r="B6" s="11" t="inlineStr"/>
      <c r="C6" s="11" t="inlineStr"/>
      <c r="D6" s="11" t="inlineStr">
        <is>
          <t>Administrator</t>
        </is>
      </c>
      <c r="E6" s="11" t="inlineStr">
        <is>
          <t>PENDING</t>
        </is>
      </c>
    </row>
    <row r="7" ht="34" customHeight="1">
      <c r="A7" s="9" t="inlineStr">
        <is>
          <t>Did any QA/test record enter live KPIs?</t>
        </is>
      </c>
      <c r="B7" s="9" t="inlineStr"/>
      <c r="C7" s="9" t="inlineStr"/>
      <c r="D7" s="9" t="inlineStr">
        <is>
          <t>System owner</t>
        </is>
      </c>
      <c r="E7" s="9" t="inlineStr">
        <is>
          <t>PENDING</t>
        </is>
      </c>
    </row>
    <row r="8" ht="34" customHeight="1">
      <c r="A8" s="11" t="inlineStr">
        <is>
          <t>Did any email fail or duplicate?</t>
        </is>
      </c>
      <c r="B8" s="11" t="inlineStr"/>
      <c r="C8" s="11" t="inlineStr"/>
      <c r="D8" s="11" t="inlineStr">
        <is>
          <t>System owner</t>
        </is>
      </c>
      <c r="E8" s="11" t="inlineStr">
        <is>
          <t>PENDING</t>
        </is>
      </c>
    </row>
    <row r="9" ht="34" customHeight="1">
      <c r="A9" s="9" t="inlineStr">
        <is>
          <t>Which owned placement produced qualified intent?</t>
        </is>
      </c>
      <c r="B9" s="9" t="inlineStr"/>
      <c r="C9" s="9" t="inlineStr"/>
      <c r="D9" s="9" t="inlineStr">
        <is>
          <t>Marketing</t>
        </is>
      </c>
      <c r="E9" s="9" t="inlineStr">
        <is>
          <t>PENDING</t>
        </is>
      </c>
    </row>
    <row r="10" ht="34" customHeight="1">
      <c r="A10" s="11" t="inlineStr">
        <is>
          <t>What single change is justified next?</t>
        </is>
      </c>
      <c r="B10" s="11" t="inlineStr"/>
      <c r="C10" s="11" t="inlineStr"/>
      <c r="D10" s="11" t="inlineStr">
        <is>
          <t>Owner/BIC</t>
        </is>
      </c>
      <c r="E10" s="11" t="inlineStr">
        <is>
          <t>PENDING</t>
        </is>
      </c>
    </row>
  </sheetData>
  <autoFilter ref="A4:E10"/>
  <mergeCells count="2">
    <mergeCell ref="A2:E2"/>
    <mergeCell ref="A1:E1"/>
  </mergeCells>
  <dataValidations count="1">
    <dataValidation sqref="E5:E10" showDropDown="0" showInputMessage="0" showErrorMessage="0" allowBlank="0" type="list">
      <formula1>"PENDING,PASS,FAIL,NOT OBSERVED"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