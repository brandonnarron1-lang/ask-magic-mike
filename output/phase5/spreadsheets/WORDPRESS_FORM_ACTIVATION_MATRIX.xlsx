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orm Inventory" sheetId="2" state="visible" r:id="rId2"/>
    <sheet xmlns:r="http://schemas.openxmlformats.org/officeDocument/2006/relationships" name="Activation Gates" sheetId="3" state="visible" r:id="rId3"/>
    <sheet xmlns:r="http://schemas.openxmlformats.org/officeDocument/2006/relationships" name="QA Evidence" sheetId="4" state="visible" r:id="rId4"/>
    <sheet xmlns:r="http://schemas.openxmlformats.org/officeDocument/2006/relationships" name="Rollback Register" sheetId="5" state="visible" r:id="rId5"/>
  </sheets>
  <definedNames>
    <definedName name="_xlnm._FilterDatabase" localSheetId="1" hidden="1">'Form Inventory'!$A$4:$T$11</definedName>
    <definedName name="_xlnm.Print_Titles" localSheetId="1">'Form Inventory'!$1:$4</definedName>
    <definedName name="_xlnm._FilterDatabase" localSheetId="2" hidden="1">'Activation Gates'!$A$4:$V$11</definedName>
    <definedName name="_xlnm.Print_Titles" localSheetId="2">'Activation Gates'!$1:$4</definedName>
    <definedName name="_xlnm._FilterDatabase" localSheetId="3" hidden="1">'QA Evidence'!$A$4:$M$5</definedName>
    <definedName name="_xlnm.Print_Titles" localSheetId="3">'QA Evidence'!$1:$4</definedName>
    <definedName name="_xlnm._FilterDatabase" localSheetId="4" hidden="1">'Rollback Register'!$A$4:$J$11</definedName>
    <definedName name="_xlnm.Print_Titles" localSheetId="4">'Rollback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WordPress Form Activation Matrix</t>
        </is>
      </c>
    </row>
    <row r="2" ht="30" customHeight="1">
      <c r="A2" s="2" t="inlineStr">
        <is>
          <t>Controlled form-by-form canonical activation register. Form 3 is the verified baseline.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Active canonical forms</t>
        </is>
      </c>
      <c r="B7" s="4">
        <f>'Form Inventory'!F12</f>
        <v/>
      </c>
    </row>
    <row r="8">
      <c r="A8" s="3" t="inlineStr">
        <is>
          <t>Shadow forms</t>
        </is>
      </c>
      <c r="B8" s="4">
        <f>'Form Inventory'!F13</f>
        <v/>
      </c>
    </row>
    <row r="9">
      <c r="A9" s="3" t="inlineStr">
        <is>
          <t>Blocked/deferred forms</t>
        </is>
      </c>
      <c r="B9" s="4">
        <f>'Form Inventory'!F14</f>
        <v/>
      </c>
    </row>
    <row r="10">
      <c r="A10" s="3" t="inlineStr">
        <is>
          <t>Live prospects in Neon</t>
        </is>
      </c>
      <c r="B10" s="4" t="n">
        <v>0</v>
      </c>
    </row>
    <row r="11">
      <c r="A11" s="3" t="inlineStr">
        <is>
          <t>Unsuppressed tests</t>
        </is>
      </c>
      <c r="B11" s="4" t="n">
        <v>0</v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42" customWidth="1" min="3" max="3"/>
    <col width="20" customWidth="1" min="4" max="4"/>
    <col width="28" customWidth="1" min="5" max="5"/>
    <col width="14" customWidth="1" min="6" max="6"/>
    <col width="13" customWidth="1" min="7" max="7"/>
    <col width="18" customWidth="1" min="8" max="8"/>
    <col width="22" customWidth="1" min="9" max="9"/>
    <col width="31" customWidth="1" min="10" max="10"/>
    <col width="20" customWidth="1" min="11" max="11"/>
    <col width="35" customWidth="1" min="12" max="12"/>
    <col width="30" customWidth="1" min="13" max="13"/>
    <col width="43" customWidth="1" min="14" max="14"/>
    <col width="24" customWidth="1" min="15" max="15"/>
    <col width="20" customWidth="1" min="16" max="16"/>
    <col width="18" customWidth="1" min="17" max="17"/>
    <col width="16" customWidth="1" min="18" max="18"/>
    <col width="34" customWidth="1" min="19" max="19"/>
    <col width="55" customWidth="1" min="20" max="20"/>
  </cols>
  <sheetData>
    <row r="1" ht="32" customHeight="1">
      <c r="A1" s="5" t="inlineStr">
        <is>
          <t>Form Inventory</t>
        </is>
      </c>
    </row>
    <row r="2" ht="28" customHeight="1">
      <c r="A2" s="6" t="inlineStr">
        <is>
          <t>Source: authenticated Gravity Forms and rendered public sitemap, 2026-08-14.</t>
        </is>
      </c>
    </row>
    <row r="4" ht="34" customHeight="1">
      <c r="A4" s="7" t="inlineStr">
        <is>
          <t>Form ID</t>
        </is>
      </c>
      <c r="B4" s="7" t="inlineStr">
        <is>
          <t>Form name</t>
        </is>
      </c>
      <c r="C4" s="7" t="inlineStr">
        <is>
          <t>Public URL</t>
        </is>
      </c>
      <c r="D4" s="7" t="inlineStr">
        <is>
          <t>Lead type</t>
        </is>
      </c>
      <c r="E4" s="7" t="inlineStr">
        <is>
          <t>Current status</t>
        </is>
      </c>
      <c r="F4" s="7" t="inlineStr">
        <is>
          <t>Bridge version</t>
        </is>
      </c>
      <c r="G4" s="7" t="inlineStr">
        <is>
          <t>Allowlisted?</t>
        </is>
      </c>
      <c r="H4" s="7" t="inlineStr">
        <is>
          <t>Local Gravity entry?</t>
        </is>
      </c>
      <c r="I4" s="7" t="inlineStr">
        <is>
          <t>Canonical endpoint</t>
        </is>
      </c>
      <c r="J4" s="7" t="inlineStr">
        <is>
          <t>Current notifications</t>
        </is>
      </c>
      <c r="K4" s="7" t="inlineStr">
        <is>
          <t>Duplicate-notification candidate</t>
        </is>
      </c>
      <c r="L4" s="7" t="inlineStr">
        <is>
          <t>Consent fields</t>
        </is>
      </c>
      <c r="M4" s="7" t="inlineStr">
        <is>
          <t>Attribution fields</t>
        </is>
      </c>
      <c r="N4" s="7" t="inlineStr">
        <is>
          <t>Canonical field mapping</t>
        </is>
      </c>
      <c r="O4" s="7" t="inlineStr">
        <is>
          <t>Routing rule</t>
        </is>
      </c>
      <c r="P4" s="7" t="inlineStr">
        <is>
          <t>Assigned owner</t>
        </is>
      </c>
      <c r="Q4" s="7" t="inlineStr">
        <is>
          <t>QA status</t>
        </is>
      </c>
      <c r="R4" s="7" t="inlineStr">
        <is>
          <t>Activation date</t>
        </is>
      </c>
      <c r="S4" s="7" t="inlineStr">
        <is>
          <t>Rollback package</t>
        </is>
      </c>
      <c r="T4" s="7" t="inlineStr">
        <is>
          <t>Notes</t>
        </is>
      </c>
    </row>
    <row r="5" ht="34" customHeight="1">
      <c r="A5" s="8" t="n">
        <v>1</v>
      </c>
      <c r="B5" s="8" t="inlineStr">
        <is>
          <t>Contact Us</t>
        </is>
      </c>
      <c r="C5" s="8" t="inlineStr">
        <is>
          <t>https://www.ourtownproperties.com/contact-us/</t>
        </is>
      </c>
      <c r="D5" s="8" t="inlineStr">
        <is>
          <t>general_question</t>
        </is>
      </c>
      <c r="E5" s="8" t="inlineStr">
        <is>
          <t>SHADOW - READY FOR QA</t>
        </is>
      </c>
      <c r="F5" s="8" t="inlineStr">
        <is>
          <t>1.1.0</t>
        </is>
      </c>
      <c r="G5" s="8" t="inlineStr">
        <is>
          <t>No</t>
        </is>
      </c>
      <c r="H5" s="8" t="inlineStr">
        <is>
          <t>Yes</t>
        </is>
      </c>
      <c r="I5" s="8" t="inlineStr">
        <is>
          <t>POST /api/leads</t>
        </is>
      </c>
      <c r="J5" s="8" t="inlineStr">
        <is>
          <t>Admin Notification (active)</t>
        </is>
      </c>
      <c r="K5" s="8" t="inlineStr">
        <is>
          <t>Yes after canonical QA</t>
        </is>
      </c>
      <c r="L5" s="8" t="inlineStr">
        <is>
          <t>No native Consent field; absent permissions default false</t>
        </is>
      </c>
      <c r="M5" s="8" t="inlineStr">
        <is>
          <t>UTM/click IDs via bridge context</t>
        </is>
      </c>
      <c r="N5" s="8" t="inlineStr">
        <is>
          <t>name 1; email 2; phone 6; subject 3; message 4</t>
        </is>
      </c>
      <c r="O5" s="8" t="inlineStr">
        <is>
          <t>Route to Mike</t>
        </is>
      </c>
      <c r="P5" s="8" t="inlineStr">
        <is>
          <t>Mike/admin review</t>
        </is>
      </c>
      <c r="Q5" s="8" t="inlineStr">
        <is>
          <t>Not run</t>
        </is>
      </c>
      <c r="R5" s="8" t="inlineStr"/>
      <c r="S5" s="8" t="inlineStr">
        <is>
          <t>Per-form 1.1.0 config + GF export</t>
        </is>
      </c>
      <c r="T5" s="8" t="inlineStr">
        <is>
          <t>Use denied consent defaults until approved wording</t>
        </is>
      </c>
    </row>
    <row r="6" ht="34" customHeight="1">
      <c r="A6" s="9" t="n">
        <v>2</v>
      </c>
      <c r="B6" s="9" t="inlineStr">
        <is>
          <t>Cash Offer Form</t>
        </is>
      </c>
      <c r="C6" s="9" t="inlineStr">
        <is>
          <t>No rendered sitemap placement found</t>
        </is>
      </c>
      <c r="D6" s="9" t="inlineStr">
        <is>
          <t>seller_cash_offer</t>
        </is>
      </c>
      <c r="E6" s="9" t="inlineStr">
        <is>
          <t>SHADOW - MAPPING REQUIRED</t>
        </is>
      </c>
      <c r="F6" s="9" t="inlineStr">
        <is>
          <t>1.1.0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POST /api/leads</t>
        </is>
      </c>
      <c r="J6" s="9" t="inlineStr">
        <is>
          <t>Admin Notification (active)</t>
        </is>
      </c>
      <c r="K6" s="9" t="inlineStr">
        <is>
          <t>Yes after canonical QA</t>
        </is>
      </c>
      <c r="L6" s="9" t="inlineStr">
        <is>
          <t>No native Consent field</t>
        </is>
      </c>
      <c r="M6" s="9" t="inlineStr">
        <is>
          <t>UTM/click IDs via bridge context</t>
        </is>
      </c>
      <c r="N6" s="9" t="inlineStr">
        <is>
          <t>name 1; phone 7; email 2; address 6</t>
        </is>
      </c>
      <c r="O6" s="9" t="inlineStr">
        <is>
          <t>Route to Mike</t>
        </is>
      </c>
      <c r="P6" s="9" t="inlineStr">
        <is>
          <t>Mike</t>
        </is>
      </c>
      <c r="Q6" s="9" t="inlineStr">
        <is>
          <t>Not run</t>
        </is>
      </c>
      <c r="R6" s="9" t="inlineStr"/>
      <c r="S6" s="9" t="inlineStr">
        <is>
          <t>Per-form 1.1.0 config + GF export</t>
        </is>
      </c>
      <c r="T6" s="9" t="inlineStr">
        <is>
          <t>Brokerage review of seller-options copy required</t>
        </is>
      </c>
    </row>
    <row r="7" ht="34" customHeight="1">
      <c r="A7" s="8" t="n">
        <v>3</v>
      </c>
      <c r="B7" s="8" t="inlineStr">
        <is>
          <t>Home Value Form</t>
        </is>
      </c>
      <c r="C7" s="8" t="inlineStr">
        <is>
          <t>https://www.ourtownproperties.com/how-much-is-your-home-worth/</t>
        </is>
      </c>
      <c r="D7" s="8" t="inlineStr">
        <is>
          <t>home_value</t>
        </is>
      </c>
      <c r="E7" s="8" t="inlineStr">
        <is>
          <t>ACTIVE - CANONICAL</t>
        </is>
      </c>
      <c r="F7" s="8" t="inlineStr">
        <is>
          <t>1.1.0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POST /api/leads</t>
        </is>
      </c>
      <c r="J7" s="8" t="inlineStr">
        <is>
          <t>Admin Notification (inactive duplicate)</t>
        </is>
      </c>
      <c r="K7" s="8" t="inlineStr">
        <is>
          <t>Corrected</t>
        </is>
      </c>
      <c r="L7" s="8" t="inlineStr">
        <is>
          <t>Denied call/email/SMS stored for QA</t>
        </is>
      </c>
      <c r="M7" s="8" t="inlineStr">
        <is>
          <t>Verified first/last touch and UTMs</t>
        </is>
      </c>
      <c r="N7" s="8" t="inlineStr">
        <is>
          <t>address 6; name 1; email 2; phone 7</t>
        </is>
      </c>
      <c r="O7" s="8" t="inlineStr">
        <is>
          <t>Route to Mike</t>
        </is>
      </c>
      <c r="P7" s="8" t="inlineStr">
        <is>
          <t>Mike</t>
        </is>
      </c>
      <c r="Q7" s="8" t="inlineStr">
        <is>
          <t>PASS</t>
        </is>
      </c>
      <c r="R7" s="8" t="inlineStr">
        <is>
          <t>2026-08-14</t>
        </is>
      </c>
      <c r="S7" s="8" t="inlineStr">
        <is>
          <t>wordpress-canonical-bridge-1.0.0-rollback.zip</t>
        </is>
      </c>
      <c r="T7" s="8" t="inlineStr">
        <is>
          <t>Entry 1549; one canonical lead; one alert; replay idempotent</t>
        </is>
      </c>
    </row>
    <row r="8" ht="34" customHeight="1">
      <c r="A8" s="9" t="n">
        <v>4</v>
      </c>
      <c r="B8" s="9" t="inlineStr">
        <is>
          <t>Join Our Team Form</t>
        </is>
      </c>
      <c r="C8" s="9" t="inlineStr">
        <is>
          <t>https://www.ourtownproperties.com/join-our-team/</t>
        </is>
      </c>
      <c r="D8" s="9" t="inlineStr">
        <is>
          <t>recruiting</t>
        </is>
      </c>
      <c r="E8" s="9" t="inlineStr">
        <is>
          <t>NOT A LEAD FORM</t>
        </is>
      </c>
      <c r="F8" s="9" t="inlineStr">
        <is>
          <t>1.1.0</t>
        </is>
      </c>
      <c r="G8" s="9" t="inlineStr">
        <is>
          <t>No</t>
        </is>
      </c>
      <c r="H8" s="9" t="inlineStr">
        <is>
          <t>Yes</t>
        </is>
      </c>
      <c r="I8" s="9" t="inlineStr">
        <is>
          <t>Not activated</t>
        </is>
      </c>
      <c r="J8" s="9" t="inlineStr">
        <is>
          <t>Admin Notification (active)</t>
        </is>
      </c>
      <c r="K8" s="9" t="inlineStr">
        <is>
          <t>No</t>
        </is>
      </c>
      <c r="L8" s="9" t="inlineStr">
        <is>
          <t>No native Consent field</t>
        </is>
      </c>
      <c r="M8" s="9" t="inlineStr">
        <is>
          <t>UTM context available</t>
        </is>
      </c>
      <c r="N8" s="9" t="inlineStr">
        <is>
          <t>name 1; phone 7; email 2; license 8; address 6</t>
        </is>
      </c>
      <c r="O8" s="9" t="inlineStr">
        <is>
          <t>Recruiting/admin only</t>
        </is>
      </c>
      <c r="P8" s="9" t="inlineStr">
        <is>
          <t>Unverified</t>
        </is>
      </c>
      <c r="Q8" s="9" t="inlineStr">
        <is>
          <t>Not applicable</t>
        </is>
      </c>
      <c r="R8" s="9" t="inlineStr"/>
      <c r="S8" s="9" t="inlineStr">
        <is>
          <t>GF export</t>
        </is>
      </c>
      <c r="T8" s="9" t="inlineStr">
        <is>
          <t>Keep outside consumer routing</t>
        </is>
      </c>
    </row>
    <row r="9" ht="34" customHeight="1">
      <c r="A9" s="8" t="n">
        <v>5</v>
      </c>
      <c r="B9" s="8" t="inlineStr">
        <is>
          <t>Rental Property Search</t>
        </is>
      </c>
      <c r="C9" s="8" t="inlineStr">
        <is>
          <t>No rendered sitemap placement found</t>
        </is>
      </c>
      <c r="D9" s="8" t="inlineStr">
        <is>
          <t>renter</t>
        </is>
      </c>
      <c r="E9" s="8" t="inlineStr">
        <is>
          <t>SHADOW - MAPPING REQUIRED</t>
        </is>
      </c>
      <c r="F9" s="8" t="inlineStr">
        <is>
          <t>1.1.0</t>
        </is>
      </c>
      <c r="G9" s="8" t="inlineStr">
        <is>
          <t>No</t>
        </is>
      </c>
      <c r="H9" s="8" t="inlineStr">
        <is>
          <t>Yes</t>
        </is>
      </c>
      <c r="I9" s="8" t="inlineStr">
        <is>
          <t>POST /api/leads</t>
        </is>
      </c>
      <c r="J9" s="8" t="inlineStr">
        <is>
          <t>Admin Notification (active)</t>
        </is>
      </c>
      <c r="K9" s="8" t="inlineStr">
        <is>
          <t>Yes after canonical QA</t>
        </is>
      </c>
      <c r="L9" s="8" t="inlineStr">
        <is>
          <t>No native Consent field</t>
        </is>
      </c>
      <c r="M9" s="8" t="inlineStr">
        <is>
          <t>UTM/click IDs via bridge context</t>
        </is>
      </c>
      <c r="N9" s="8" t="inlineStr">
        <is>
          <t>name 1; phone 7; email 2; address 6; area 8</t>
        </is>
      </c>
      <c r="O9" s="8" t="inlineStr">
        <is>
          <t>Mike or admin review</t>
        </is>
      </c>
      <c r="P9" s="8" t="inlineStr">
        <is>
          <t>Unverified</t>
        </is>
      </c>
      <c r="Q9" s="8" t="inlineStr">
        <is>
          <t>Not run</t>
        </is>
      </c>
      <c r="R9" s="8" t="inlineStr"/>
      <c r="S9" s="8" t="inlineStr">
        <is>
          <t>Per-form 1.1.0 config + GF export</t>
        </is>
      </c>
      <c r="T9" s="8" t="inlineStr">
        <is>
          <t>Confirm public placement and recipient</t>
        </is>
      </c>
    </row>
    <row r="10" ht="34" customHeight="1">
      <c r="A10" s="9" t="n">
        <v>6</v>
      </c>
      <c r="B10" s="9" t="inlineStr">
        <is>
          <t>Short Term Home Rentals form</t>
        </is>
      </c>
      <c r="C10" s="9" t="inlineStr">
        <is>
          <t>https://www.ourtownproperties.com/short-term-home-rentals/</t>
        </is>
      </c>
      <c r="D10" s="9" t="inlineStr">
        <is>
          <t>renter</t>
        </is>
      </c>
      <c r="E10" s="9" t="inlineStr">
        <is>
          <t>SHADOW - READY FOR QA</t>
        </is>
      </c>
      <c r="F10" s="9" t="inlineStr">
        <is>
          <t>1.1.0</t>
        </is>
      </c>
      <c r="G10" s="9" t="inlineStr">
        <is>
          <t>No</t>
        </is>
      </c>
      <c r="H10" s="9" t="inlineStr">
        <is>
          <t>Yes</t>
        </is>
      </c>
      <c r="I10" s="9" t="inlineStr">
        <is>
          <t>POST /api/leads</t>
        </is>
      </c>
      <c r="J10" s="9" t="inlineStr">
        <is>
          <t>Admin Notification (active)</t>
        </is>
      </c>
      <c r="K10" s="9" t="inlineStr">
        <is>
          <t>Yes after canonical QA</t>
        </is>
      </c>
      <c r="L10" s="9" t="inlineStr">
        <is>
          <t>No native Consent field</t>
        </is>
      </c>
      <c r="M10" s="9" t="inlineStr">
        <is>
          <t>UTM/click IDs via bridge context</t>
        </is>
      </c>
      <c r="N10" s="9" t="inlineStr">
        <is>
          <t>name 1; phone 7; email 2; details 8</t>
        </is>
      </c>
      <c r="O10" s="9" t="inlineStr">
        <is>
          <t>Mike/admin review</t>
        </is>
      </c>
      <c r="P10" s="9" t="inlineStr">
        <is>
          <t>Mike/admin review</t>
        </is>
      </c>
      <c r="Q10" s="9" t="inlineStr">
        <is>
          <t>Not run</t>
        </is>
      </c>
      <c r="R10" s="9" t="inlineStr"/>
      <c r="S10" s="9" t="inlineStr">
        <is>
          <t>Per-form 1.1.0 config + GF export</t>
        </is>
      </c>
      <c r="T10" s="9" t="inlineStr">
        <is>
          <t>Controlled QA after denied-consent mapping</t>
        </is>
      </c>
    </row>
    <row r="11" ht="34" customHeight="1">
      <c r="A11" s="8" t="n">
        <v>7</v>
      </c>
      <c r="B11" s="8" t="inlineStr">
        <is>
          <t>Never miss a property!</t>
        </is>
      </c>
      <c r="C11" s="8" t="inlineStr">
        <is>
          <t>Global/sitewide placement</t>
        </is>
      </c>
      <c r="D11" s="8" t="inlineStr">
        <is>
          <t>buyer_property_alert</t>
        </is>
      </c>
      <c r="E11" s="8" t="inlineStr">
        <is>
          <t>DEFERRED - LEGAL REVIEW</t>
        </is>
      </c>
      <c r="F11" s="8" t="inlineStr">
        <is>
          <t>1.1.0</t>
        </is>
      </c>
      <c r="G11" s="8" t="inlineStr">
        <is>
          <t>No</t>
        </is>
      </c>
      <c r="H11" s="8" t="inlineStr">
        <is>
          <t>Yes</t>
        </is>
      </c>
      <c r="I11" s="8" t="inlineStr">
        <is>
          <t>POST /api/leads after consent fix</t>
        </is>
      </c>
      <c r="J11" s="8" t="inlineStr">
        <is>
          <t>Admin Notification (active)</t>
        </is>
      </c>
      <c r="K11" s="8" t="inlineStr">
        <is>
          <t>Yes after canonical QA</t>
        </is>
      </c>
      <c r="L11" s="8" t="inlineStr">
        <is>
          <t>No explicit marketing Consent field</t>
        </is>
      </c>
      <c r="M11" s="8" t="inlineStr">
        <is>
          <t>Page and campaign context required</t>
        </is>
      </c>
      <c r="N11" s="8" t="inlineStr">
        <is>
          <t>name 1; phone 7; email 2; message 8</t>
        </is>
      </c>
      <c r="O11" s="8" t="inlineStr">
        <is>
          <t>Mike until approved mapping</t>
        </is>
      </c>
      <c r="P11" s="8" t="inlineStr">
        <is>
          <t>Mike/admin review</t>
        </is>
      </c>
      <c r="Q11" s="8" t="inlineStr">
        <is>
          <t>Blocked</t>
        </is>
      </c>
      <c r="R11" s="8" t="inlineStr"/>
      <c r="S11" s="8" t="inlineStr">
        <is>
          <t>Per-form 1.1.0 config + GF export</t>
        </is>
      </c>
      <c r="T11" s="8" t="inlineStr">
        <is>
          <t>Possible genuine entry 1550 preserved; do not use as QA</t>
        </is>
      </c>
    </row>
    <row r="12">
      <c r="E12" t="inlineStr">
        <is>
          <t>Summary</t>
        </is>
      </c>
      <c r="F12">
        <f>COUNTIF(E5:E11,"ACTIVE*")</f>
        <v/>
      </c>
    </row>
    <row r="13">
      <c r="F13">
        <f>COUNTIF(E5:E11,"SHADOW*")</f>
        <v/>
      </c>
    </row>
    <row r="14">
      <c r="F14">
        <f>COUNTIF(E5:E11,"DEFERRED*")+COUNTIF(E5:E11,"NOT A LEAD FORM")</f>
        <v/>
      </c>
    </row>
  </sheetData>
  <autoFilter ref="A4:T11"/>
  <mergeCells count="2">
    <mergeCell ref="A1:T1"/>
    <mergeCell ref="A2:T2"/>
  </mergeCells>
  <conditionalFormatting sqref="E5:E11">
    <cfRule type="expression" priority="1" dxfId="0">
      <formula>ISNUMBER(SEARCH("ACTIVE",E5))</formula>
    </cfRule>
    <cfRule type="expression" priority="2" dxfId="1">
      <formula>OR(ISNUMBER(SEARCH("BLOCK",E5)),ISNUMBER(SEARCH("FAIL",E5)),ISNUMBER(SEARCH("DEFER",E5)))</formula>
    </cfRule>
    <cfRule type="expression" priority="3" dxfId="2">
      <formula>OR(ISNUMBER(SEARCH("SHADOW",E5)),ISNUMBER(SEARCH("PENDING",E5)))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4" customWidth="1" min="22" max="22"/>
  </cols>
  <sheetData>
    <row r="1" ht="32" customHeight="1">
      <c r="A1" s="5" t="inlineStr">
        <is>
          <t>Activation Gates</t>
        </is>
      </c>
    </row>
    <row r="2" ht="28" customHeight="1">
      <c r="A2" s="6" t="inlineStr">
        <is>
          <t>Use PASS, FAIL, N/A, or PENDING. Eligibility is formula driven.</t>
        </is>
      </c>
    </row>
    <row r="4" ht="34" customHeight="1">
      <c r="A4" s="7" t="inlineStr">
        <is>
          <t>Form ID</t>
        </is>
      </c>
      <c r="B4" s="7" t="inlineStr">
        <is>
          <t>Form name</t>
        </is>
      </c>
      <c r="C4" s="7" t="inlineStr">
        <is>
          <t>Backup complete</t>
        </is>
      </c>
      <c r="D4" s="7" t="inlineStr">
        <is>
          <t>Field mapping complete</t>
        </is>
      </c>
      <c r="E4" s="7" t="inlineStr">
        <is>
          <t>Consent mapping complete</t>
        </is>
      </c>
      <c r="F4" s="7" t="inlineStr">
        <is>
          <t>Attribution mapping complete</t>
        </is>
      </c>
      <c r="G4" s="7" t="inlineStr">
        <is>
          <t>Routing tested</t>
        </is>
      </c>
      <c r="H4" s="7" t="inlineStr">
        <is>
          <t>Signature tested</t>
        </is>
      </c>
      <c r="I4" s="7" t="inlineStr">
        <is>
          <t>Replay tested</t>
        </is>
      </c>
      <c r="J4" s="7" t="inlineStr">
        <is>
          <t>Local entry verified</t>
        </is>
      </c>
      <c r="K4" s="7" t="inlineStr">
        <is>
          <t>Neon record verified</t>
        </is>
      </c>
      <c r="L4" s="7" t="inlineStr">
        <is>
          <t>Canonical ID verified</t>
        </is>
      </c>
      <c r="M4" s="7" t="inlineStr">
        <is>
          <t>Internal alert verified</t>
        </is>
      </c>
      <c r="N4" s="7" t="inlineStr">
        <is>
          <t>Hidden BCC verified</t>
        </is>
      </c>
      <c r="O4" s="7" t="inlineStr">
        <is>
          <t>Consumer message suppressed</t>
        </is>
      </c>
      <c r="P4" s="7" t="inlineStr">
        <is>
          <t>SMS suppressed</t>
        </is>
      </c>
      <c r="Q4" s="7" t="inlineStr">
        <is>
          <t>Duplicate notification corrected</t>
        </is>
      </c>
      <c r="R4" s="7" t="inlineStr">
        <is>
          <t>Rollback tested</t>
        </is>
      </c>
      <c r="S4" s="7" t="inlineStr">
        <is>
          <t>Production health passed</t>
        </is>
      </c>
      <c r="T4" s="7" t="inlineStr">
        <is>
          <t>Completion %</t>
        </is>
      </c>
      <c r="U4" s="7" t="inlineStr">
        <is>
          <t>Activation eligibility</t>
        </is>
      </c>
      <c r="V4" s="7" t="inlineStr">
        <is>
          <t>Remaining blockers</t>
        </is>
      </c>
    </row>
    <row r="5" ht="34" customHeight="1">
      <c r="A5" s="8" t="n">
        <v>1</v>
      </c>
      <c r="B5" s="8" t="inlineStr">
        <is>
          <t>Contact Us</t>
        </is>
      </c>
      <c r="C5" s="8" t="inlineStr">
        <is>
          <t>PENDING</t>
        </is>
      </c>
      <c r="D5" s="8" t="inlineStr">
        <is>
          <t>PENDING</t>
        </is>
      </c>
      <c r="E5" s="8" t="inlineStr">
        <is>
          <t>PENDING</t>
        </is>
      </c>
      <c r="F5" s="8" t="inlineStr">
        <is>
          <t>PENDING</t>
        </is>
      </c>
      <c r="G5" s="8" t="inlineStr">
        <is>
          <t>PENDING</t>
        </is>
      </c>
      <c r="H5" s="8" t="inlineStr">
        <is>
          <t>PENDING</t>
        </is>
      </c>
      <c r="I5" s="8" t="inlineStr">
        <is>
          <t>PENDING</t>
        </is>
      </c>
      <c r="J5" s="8" t="inlineStr">
        <is>
          <t>PENDING</t>
        </is>
      </c>
      <c r="K5" s="8" t="inlineStr">
        <is>
          <t>PENDING</t>
        </is>
      </c>
      <c r="L5" s="8" t="inlineStr">
        <is>
          <t>PENDING</t>
        </is>
      </c>
      <c r="M5" s="8" t="inlineStr">
        <is>
          <t>PENDING</t>
        </is>
      </c>
      <c r="N5" s="8" t="inlineStr">
        <is>
          <t>PENDING</t>
        </is>
      </c>
      <c r="O5" s="8" t="inlineStr">
        <is>
          <t>PENDING</t>
        </is>
      </c>
      <c r="P5" s="8" t="inlineStr">
        <is>
          <t>PENDING</t>
        </is>
      </c>
      <c r="Q5" s="8" t="inlineStr">
        <is>
          <t>PENDING</t>
        </is>
      </c>
      <c r="R5" s="8" t="inlineStr">
        <is>
          <t>PENDING</t>
        </is>
      </c>
      <c r="S5" s="8" t="inlineStr">
        <is>
          <t>PENDING</t>
        </is>
      </c>
      <c r="T5" s="10">
        <f>IFERROR(COUNTIF(C5:S5,"PASS")/(COUNTIF(C5:S5,"PASS")+COUNTIF(C5:S5,"FAIL")+COUNTIF(C5:S5,"PENDING")),0)</f>
        <v/>
      </c>
      <c r="U5">
        <f>IF((COUNTIF(C5:S5,"PASS")+COUNTIF(C5:S5,"FAIL")+COUNTIF(C5:S5,"PENDING"))=0,"NOT APPLICABLE",IF(COUNTIF(C5:S5,"FAIL")&gt;0,"BLOCKED",IF(COUNTIF(C5:S5,"PENDING")&gt;0,"NOT READY","ELIGIBLE")))</f>
        <v/>
      </c>
      <c r="V5">
        <f>IF((COUNTIF(C5:S5,"PASS")+COUNTIF(C5:S5,"FAIL")+COUNTIF(C5:S5,"PENDING"))=0,"No applicable consumer lead gates",COUNTIF(C5:S5,"PENDING")&amp;" pending; "&amp;COUNTIF(C5:S5,"FAIL")&amp;" failed")</f>
        <v/>
      </c>
    </row>
    <row r="6" ht="34" customHeight="1">
      <c r="A6" s="9" t="n">
        <v>2</v>
      </c>
      <c r="B6" s="9" t="inlineStr">
        <is>
          <t>Cash Offer Form</t>
        </is>
      </c>
      <c r="C6" s="9" t="inlineStr">
        <is>
          <t>PENDING</t>
        </is>
      </c>
      <c r="D6" s="9" t="inlineStr">
        <is>
          <t>PENDING</t>
        </is>
      </c>
      <c r="E6" s="9" t="inlineStr">
        <is>
          <t>PENDING</t>
        </is>
      </c>
      <c r="F6" s="9" t="inlineStr">
        <is>
          <t>PENDING</t>
        </is>
      </c>
      <c r="G6" s="9" t="inlineStr">
        <is>
          <t>PENDING</t>
        </is>
      </c>
      <c r="H6" s="9" t="inlineStr">
        <is>
          <t>PENDING</t>
        </is>
      </c>
      <c r="I6" s="9" t="inlineStr">
        <is>
          <t>PENDING</t>
        </is>
      </c>
      <c r="J6" s="9" t="inlineStr">
        <is>
          <t>PENDING</t>
        </is>
      </c>
      <c r="K6" s="9" t="inlineStr">
        <is>
          <t>PENDING</t>
        </is>
      </c>
      <c r="L6" s="9" t="inlineStr">
        <is>
          <t>PENDING</t>
        </is>
      </c>
      <c r="M6" s="9" t="inlineStr">
        <is>
          <t>PENDING</t>
        </is>
      </c>
      <c r="N6" s="9" t="inlineStr">
        <is>
          <t>PENDING</t>
        </is>
      </c>
      <c r="O6" s="9" t="inlineStr">
        <is>
          <t>PENDING</t>
        </is>
      </c>
      <c r="P6" s="9" t="inlineStr">
        <is>
          <t>PENDING</t>
        </is>
      </c>
      <c r="Q6" s="9" t="inlineStr">
        <is>
          <t>PENDING</t>
        </is>
      </c>
      <c r="R6" s="9" t="inlineStr">
        <is>
          <t>PENDING</t>
        </is>
      </c>
      <c r="S6" s="9" t="inlineStr">
        <is>
          <t>PENDING</t>
        </is>
      </c>
      <c r="T6" s="10">
        <f>IFERROR(COUNTIF(C6:S6,"PASS")/(COUNTIF(C6:S6,"PASS")+COUNTIF(C6:S6,"FAIL")+COUNTIF(C6:S6,"PENDING")),0)</f>
        <v/>
      </c>
      <c r="U6">
        <f>IF((COUNTIF(C6:S6,"PASS")+COUNTIF(C6:S6,"FAIL")+COUNTIF(C6:S6,"PENDING"))=0,"NOT APPLICABLE",IF(COUNTIF(C6:S6,"FAIL")&gt;0,"BLOCKED",IF(COUNTIF(C6:S6,"PENDING")&gt;0,"NOT READY","ELIGIBLE")))</f>
        <v/>
      </c>
      <c r="V6">
        <f>IF((COUNTIF(C6:S6,"PASS")+COUNTIF(C6:S6,"FAIL")+COUNTIF(C6:S6,"PENDING"))=0,"No applicable consumer lead gates",COUNTIF(C6:S6,"PENDING")&amp;" pending; "&amp;COUNTIF(C6:S6,"FAIL")&amp;" failed")</f>
        <v/>
      </c>
    </row>
    <row r="7" ht="34" customHeight="1">
      <c r="A7" s="8" t="n">
        <v>3</v>
      </c>
      <c r="B7" s="8" t="inlineStr">
        <is>
          <t>Home Value Form</t>
        </is>
      </c>
      <c r="C7" s="8" t="inlineStr">
        <is>
          <t>PASS</t>
        </is>
      </c>
      <c r="D7" s="8" t="inlineStr">
        <is>
          <t>PASS</t>
        </is>
      </c>
      <c r="E7" s="8" t="inlineStr">
        <is>
          <t>PASS</t>
        </is>
      </c>
      <c r="F7" s="8" t="inlineStr">
        <is>
          <t>PASS</t>
        </is>
      </c>
      <c r="G7" s="8" t="inlineStr">
        <is>
          <t>PASS</t>
        </is>
      </c>
      <c r="H7" s="8" t="inlineStr">
        <is>
          <t>PASS</t>
        </is>
      </c>
      <c r="I7" s="8" t="inlineStr">
        <is>
          <t>PASS</t>
        </is>
      </c>
      <c r="J7" s="8" t="inlineStr">
        <is>
          <t>PASS</t>
        </is>
      </c>
      <c r="K7" s="8" t="inlineStr">
        <is>
          <t>PASS</t>
        </is>
      </c>
      <c r="L7" s="8" t="inlineStr">
        <is>
          <t>PASS</t>
        </is>
      </c>
      <c r="M7" s="8" t="inlineStr">
        <is>
          <t>PASS</t>
        </is>
      </c>
      <c r="N7" s="8" t="inlineStr">
        <is>
          <t>PASS</t>
        </is>
      </c>
      <c r="O7" s="8" t="inlineStr">
        <is>
          <t>PASS</t>
        </is>
      </c>
      <c r="P7" s="8" t="inlineStr">
        <is>
          <t>PASS</t>
        </is>
      </c>
      <c r="Q7" s="8" t="inlineStr">
        <is>
          <t>PASS</t>
        </is>
      </c>
      <c r="R7" s="8" t="inlineStr">
        <is>
          <t>PASS</t>
        </is>
      </c>
      <c r="S7" s="8" t="inlineStr">
        <is>
          <t>PASS</t>
        </is>
      </c>
      <c r="T7" s="10">
        <f>IFERROR(COUNTIF(C7:S7,"PASS")/(COUNTIF(C7:S7,"PASS")+COUNTIF(C7:S7,"FAIL")+COUNTIF(C7:S7,"PENDING")),0)</f>
        <v/>
      </c>
      <c r="U7">
        <f>IF((COUNTIF(C7:S7,"PASS")+COUNTIF(C7:S7,"FAIL")+COUNTIF(C7:S7,"PENDING"))=0,"NOT APPLICABLE",IF(COUNTIF(C7:S7,"FAIL")&gt;0,"BLOCKED",IF(COUNTIF(C7:S7,"PENDING")&gt;0,"NOT READY","ELIGIBLE")))</f>
        <v/>
      </c>
      <c r="V7">
        <f>IF((COUNTIF(C7:S7,"PASS")+COUNTIF(C7:S7,"FAIL")+COUNTIF(C7:S7,"PENDING"))=0,"No applicable consumer lead gates",COUNTIF(C7:S7,"PENDING")&amp;" pending; "&amp;COUNTIF(C7:S7,"FAIL")&amp;" failed")</f>
        <v/>
      </c>
    </row>
    <row r="8" ht="34" customHeight="1">
      <c r="A8" s="9" t="n">
        <v>4</v>
      </c>
      <c r="B8" s="9" t="inlineStr">
        <is>
          <t>Join Our Team Form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N/A</t>
        </is>
      </c>
      <c r="O8" s="9" t="inlineStr">
        <is>
          <t>N/A</t>
        </is>
      </c>
      <c r="P8" s="9" t="inlineStr">
        <is>
          <t>N/A</t>
        </is>
      </c>
      <c r="Q8" s="9" t="inlineStr">
        <is>
          <t>N/A</t>
        </is>
      </c>
      <c r="R8" s="9" t="inlineStr">
        <is>
          <t>N/A</t>
        </is>
      </c>
      <c r="S8" s="9" t="inlineStr">
        <is>
          <t>N/A</t>
        </is>
      </c>
      <c r="T8" s="10">
        <f>IFERROR(COUNTIF(C8:S8,"PASS")/(COUNTIF(C8:S8,"PASS")+COUNTIF(C8:S8,"FAIL")+COUNTIF(C8:S8,"PENDING")),0)</f>
        <v/>
      </c>
      <c r="U8">
        <f>IF((COUNTIF(C8:S8,"PASS")+COUNTIF(C8:S8,"FAIL")+COUNTIF(C8:S8,"PENDING"))=0,"NOT APPLICABLE",IF(COUNTIF(C8:S8,"FAIL")&gt;0,"BLOCKED",IF(COUNTIF(C8:S8,"PENDING")&gt;0,"NOT READY","ELIGIBLE")))</f>
        <v/>
      </c>
      <c r="V8">
        <f>IF((COUNTIF(C8:S8,"PASS")+COUNTIF(C8:S8,"FAIL")+COUNTIF(C8:S8,"PENDING"))=0,"No applicable consumer lead gates",COUNTIF(C8:S8,"PENDING")&amp;" pending; "&amp;COUNTIF(C8:S8,"FAIL")&amp;" failed")</f>
        <v/>
      </c>
    </row>
    <row r="9" ht="34" customHeight="1">
      <c r="A9" s="8" t="n">
        <v>5</v>
      </c>
      <c r="B9" s="8" t="inlineStr">
        <is>
          <t>Rental Property Search</t>
        </is>
      </c>
      <c r="C9" s="8" t="inlineStr">
        <is>
          <t>PENDING</t>
        </is>
      </c>
      <c r="D9" s="8" t="inlineStr">
        <is>
          <t>PENDING</t>
        </is>
      </c>
      <c r="E9" s="8" t="inlineStr">
        <is>
          <t>PENDING</t>
        </is>
      </c>
      <c r="F9" s="8" t="inlineStr">
        <is>
          <t>PENDING</t>
        </is>
      </c>
      <c r="G9" s="8" t="inlineStr">
        <is>
          <t>PENDING</t>
        </is>
      </c>
      <c r="H9" s="8" t="inlineStr">
        <is>
          <t>PENDING</t>
        </is>
      </c>
      <c r="I9" s="8" t="inlineStr">
        <is>
          <t>PENDING</t>
        </is>
      </c>
      <c r="J9" s="8" t="inlineStr">
        <is>
          <t>PENDING</t>
        </is>
      </c>
      <c r="K9" s="8" t="inlineStr">
        <is>
          <t>PENDING</t>
        </is>
      </c>
      <c r="L9" s="8" t="inlineStr">
        <is>
          <t>PENDING</t>
        </is>
      </c>
      <c r="M9" s="8" t="inlineStr">
        <is>
          <t>PENDING</t>
        </is>
      </c>
      <c r="N9" s="8" t="inlineStr">
        <is>
          <t>PENDING</t>
        </is>
      </c>
      <c r="O9" s="8" t="inlineStr">
        <is>
          <t>PENDING</t>
        </is>
      </c>
      <c r="P9" s="8" t="inlineStr">
        <is>
          <t>PENDING</t>
        </is>
      </c>
      <c r="Q9" s="8" t="inlineStr">
        <is>
          <t>PENDING</t>
        </is>
      </c>
      <c r="R9" s="8" t="inlineStr">
        <is>
          <t>PENDING</t>
        </is>
      </c>
      <c r="S9" s="8" t="inlineStr">
        <is>
          <t>PENDING</t>
        </is>
      </c>
      <c r="T9" s="10">
        <f>IFERROR(COUNTIF(C9:S9,"PASS")/(COUNTIF(C9:S9,"PASS")+COUNTIF(C9:S9,"FAIL")+COUNTIF(C9:S9,"PENDING")),0)</f>
        <v/>
      </c>
      <c r="U9">
        <f>IF((COUNTIF(C9:S9,"PASS")+COUNTIF(C9:S9,"FAIL")+COUNTIF(C9:S9,"PENDING"))=0,"NOT APPLICABLE",IF(COUNTIF(C9:S9,"FAIL")&gt;0,"BLOCKED",IF(COUNTIF(C9:S9,"PENDING")&gt;0,"NOT READY","ELIGIBLE")))</f>
        <v/>
      </c>
      <c r="V9">
        <f>IF((COUNTIF(C9:S9,"PASS")+COUNTIF(C9:S9,"FAIL")+COUNTIF(C9:S9,"PENDING"))=0,"No applicable consumer lead gates",COUNTIF(C9:S9,"PENDING")&amp;" pending; "&amp;COUNTIF(C9:S9,"FAIL")&amp;" failed")</f>
        <v/>
      </c>
    </row>
    <row r="10" ht="34" customHeight="1">
      <c r="A10" s="9" t="n">
        <v>6</v>
      </c>
      <c r="B10" s="9" t="inlineStr">
        <is>
          <t>Short Term Home Rentals form</t>
        </is>
      </c>
      <c r="C10" s="9" t="inlineStr">
        <is>
          <t>PENDING</t>
        </is>
      </c>
      <c r="D10" s="9" t="inlineStr">
        <is>
          <t>PENDING</t>
        </is>
      </c>
      <c r="E10" s="9" t="inlineStr">
        <is>
          <t>PENDING</t>
        </is>
      </c>
      <c r="F10" s="9" t="inlineStr">
        <is>
          <t>PENDING</t>
        </is>
      </c>
      <c r="G10" s="9" t="inlineStr">
        <is>
          <t>PENDING</t>
        </is>
      </c>
      <c r="H10" s="9" t="inlineStr">
        <is>
          <t>PENDING</t>
        </is>
      </c>
      <c r="I10" s="9" t="inlineStr">
        <is>
          <t>PENDING</t>
        </is>
      </c>
      <c r="J10" s="9" t="inlineStr">
        <is>
          <t>PENDING</t>
        </is>
      </c>
      <c r="K10" s="9" t="inlineStr">
        <is>
          <t>PENDING</t>
        </is>
      </c>
      <c r="L10" s="9" t="inlineStr">
        <is>
          <t>PENDING</t>
        </is>
      </c>
      <c r="M10" s="9" t="inlineStr">
        <is>
          <t>PENDING</t>
        </is>
      </c>
      <c r="N10" s="9" t="inlineStr">
        <is>
          <t>PENDING</t>
        </is>
      </c>
      <c r="O10" s="9" t="inlineStr">
        <is>
          <t>PENDING</t>
        </is>
      </c>
      <c r="P10" s="9" t="inlineStr">
        <is>
          <t>PENDING</t>
        </is>
      </c>
      <c r="Q10" s="9" t="inlineStr">
        <is>
          <t>PENDING</t>
        </is>
      </c>
      <c r="R10" s="9" t="inlineStr">
        <is>
          <t>PENDING</t>
        </is>
      </c>
      <c r="S10" s="9" t="inlineStr">
        <is>
          <t>PENDING</t>
        </is>
      </c>
      <c r="T10" s="10">
        <f>IFERROR(COUNTIF(C10:S10,"PASS")/(COUNTIF(C10:S10,"PASS")+COUNTIF(C10:S10,"FAIL")+COUNTIF(C10:S10,"PENDING")),0)</f>
        <v/>
      </c>
      <c r="U10">
        <f>IF((COUNTIF(C10:S10,"PASS")+COUNTIF(C10:S10,"FAIL")+COUNTIF(C10:S10,"PENDING"))=0,"NOT APPLICABLE",IF(COUNTIF(C10:S10,"FAIL")&gt;0,"BLOCKED",IF(COUNTIF(C10:S10,"PENDING")&gt;0,"NOT READY","ELIGIBLE")))</f>
        <v/>
      </c>
      <c r="V10">
        <f>IF((COUNTIF(C10:S10,"PASS")+COUNTIF(C10:S10,"FAIL")+COUNTIF(C10:S10,"PENDING"))=0,"No applicable consumer lead gates",COUNTIF(C10:S10,"PENDING")&amp;" pending; "&amp;COUNTIF(C10:S10,"FAIL")&amp;" failed")</f>
        <v/>
      </c>
    </row>
    <row r="11" ht="34" customHeight="1">
      <c r="A11" s="8" t="n">
        <v>7</v>
      </c>
      <c r="B11" s="8" t="inlineStr">
        <is>
          <t>Never miss a property!</t>
        </is>
      </c>
      <c r="C11" s="8" t="inlineStr">
        <is>
          <t>PENDING</t>
        </is>
      </c>
      <c r="D11" s="8" t="inlineStr">
        <is>
          <t>PENDING</t>
        </is>
      </c>
      <c r="E11" s="8" t="inlineStr">
        <is>
          <t>PENDING</t>
        </is>
      </c>
      <c r="F11" s="8" t="inlineStr">
        <is>
          <t>PENDING</t>
        </is>
      </c>
      <c r="G11" s="8" t="inlineStr">
        <is>
          <t>PENDING</t>
        </is>
      </c>
      <c r="H11" s="8" t="inlineStr">
        <is>
          <t>PENDING</t>
        </is>
      </c>
      <c r="I11" s="8" t="inlineStr">
        <is>
          <t>PENDING</t>
        </is>
      </c>
      <c r="J11" s="8" t="inlineStr">
        <is>
          <t>PENDING</t>
        </is>
      </c>
      <c r="K11" s="8" t="inlineStr">
        <is>
          <t>PENDING</t>
        </is>
      </c>
      <c r="L11" s="8" t="inlineStr">
        <is>
          <t>PENDING</t>
        </is>
      </c>
      <c r="M11" s="8" t="inlineStr">
        <is>
          <t>PENDING</t>
        </is>
      </c>
      <c r="N11" s="8" t="inlineStr">
        <is>
          <t>PENDING</t>
        </is>
      </c>
      <c r="O11" s="8" t="inlineStr">
        <is>
          <t>PENDING</t>
        </is>
      </c>
      <c r="P11" s="8" t="inlineStr">
        <is>
          <t>PENDING</t>
        </is>
      </c>
      <c r="Q11" s="8" t="inlineStr">
        <is>
          <t>PENDING</t>
        </is>
      </c>
      <c r="R11" s="8" t="inlineStr">
        <is>
          <t>PENDING</t>
        </is>
      </c>
      <c r="S11" s="8" t="inlineStr">
        <is>
          <t>PENDING</t>
        </is>
      </c>
      <c r="T11" s="10">
        <f>IFERROR(COUNTIF(C11:S11,"PASS")/(COUNTIF(C11:S11,"PASS")+COUNTIF(C11:S11,"FAIL")+COUNTIF(C11:S11,"PENDING")),0)</f>
        <v/>
      </c>
      <c r="U11">
        <f>IF((COUNTIF(C11:S11,"PASS")+COUNTIF(C11:S11,"FAIL")+COUNTIF(C11:S11,"PENDING"))=0,"NOT APPLICABLE",IF(COUNTIF(C11:S11,"FAIL")&gt;0,"BLOCKED",IF(COUNTIF(C11:S11,"PENDING")&gt;0,"NOT READY","ELIGIBLE")))</f>
        <v/>
      </c>
      <c r="V11">
        <f>IF((COUNTIF(C11:S11,"PASS")+COUNTIF(C11:S11,"FAIL")+COUNTIF(C11:S11,"PENDING"))=0,"No applicable consumer lead gates",COUNTIF(C11:S11,"PENDING")&amp;" pending; "&amp;COUNTIF(C11:S11,"FAIL")&amp;" failed")</f>
        <v/>
      </c>
    </row>
  </sheetData>
  <autoFilter ref="A4:V11"/>
  <mergeCells count="2">
    <mergeCell ref="A2:V2"/>
    <mergeCell ref="A1:V1"/>
  </mergeCells>
  <dataValidations count="1">
    <dataValidation sqref="C5:S11" showDropDown="0" showInputMessage="0" showErrorMessage="0" allowBlank="0" type="list">
      <formula1>"PASS,FAIL,N/A,PENDING"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8" customWidth="1" min="4" max="4"/>
    <col width="39" customWidth="1" min="5" max="5"/>
    <col width="39" customWidth="1" min="6" max="6"/>
    <col width="18" customWidth="1" min="7" max="7"/>
    <col width="26" customWidth="1" min="8" max="8"/>
    <col width="22" customWidth="1" min="9" max="9"/>
    <col width="22" customWidth="1" min="10" max="10"/>
    <col width="30" customWidth="1" min="11" max="11"/>
    <col width="45" customWidth="1" min="12" max="12"/>
    <col width="14" customWidth="1" min="13" max="13"/>
  </cols>
  <sheetData>
    <row r="1" ht="32" customHeight="1">
      <c r="A1" s="5" t="inlineStr">
        <is>
          <t>QA Evidence</t>
        </is>
      </c>
    </row>
    <row r="2" ht="28" customHeight="1">
      <c r="A2" s="6" t="inlineStr">
        <is>
          <t>No private BCC values or secrets.</t>
        </is>
      </c>
    </row>
    <row r="4" ht="34" customHeight="1">
      <c r="A4" s="7" t="inlineStr">
        <is>
          <t>QA test ID</t>
        </is>
      </c>
      <c r="B4" s="7" t="inlineStr">
        <is>
          <t>Form ID</t>
        </is>
      </c>
      <c r="C4" s="7" t="inlineStr">
        <is>
          <t>Date</t>
        </is>
      </c>
      <c r="D4" s="7" t="inlineStr">
        <is>
          <t>Gravity entry ID</t>
        </is>
      </c>
      <c r="E4" s="7" t="inlineStr">
        <is>
          <t>Canonical lead ID</t>
        </is>
      </c>
      <c r="F4" s="7" t="inlineStr">
        <is>
          <t>Resend provider ID</t>
        </is>
      </c>
      <c r="G4" s="7" t="inlineStr">
        <is>
          <t>Notification count</t>
        </is>
      </c>
      <c r="H4" s="7" t="inlineStr">
        <is>
          <t>Replay result</t>
        </is>
      </c>
      <c r="I4" s="7" t="inlineStr">
        <is>
          <t>Suppression result</t>
        </is>
      </c>
      <c r="J4" s="7" t="inlineStr">
        <is>
          <t>Test-record status</t>
        </is>
      </c>
      <c r="K4" s="7" t="inlineStr">
        <is>
          <t>Cleanup/reconciliation status</t>
        </is>
      </c>
      <c r="L4" s="7" t="inlineStr">
        <is>
          <t>Evidence path</t>
        </is>
      </c>
      <c r="M4" s="7" t="inlineStr">
        <is>
          <t>Pass or fail</t>
        </is>
      </c>
    </row>
    <row r="5" ht="34" customHeight="1">
      <c r="A5" s="8" t="inlineStr">
        <is>
          <t>FORM3-QA-20260814</t>
        </is>
      </c>
      <c r="B5" s="8" t="n">
        <v>3</v>
      </c>
      <c r="C5" s="8" t="inlineStr">
        <is>
          <t>2026-08-14</t>
        </is>
      </c>
      <c r="D5" s="8" t="n">
        <v>1549</v>
      </c>
      <c r="E5" s="8" t="inlineStr">
        <is>
          <t>70f63f35-2478-4738-b84c-bc1a89b8482c</t>
        </is>
      </c>
      <c r="F5" s="8" t="inlineStr">
        <is>
          <t>bf31a582-e4a3-45cb-a7f1-5cb89121626f</t>
        </is>
      </c>
      <c r="G5" s="8" t="n">
        <v>1</v>
      </c>
      <c r="H5" s="8" t="inlineStr">
        <is>
          <t>Same lead; no new message</t>
        </is>
      </c>
      <c r="I5" s="8" t="inlineStr">
        <is>
          <t>PASS</t>
        </is>
      </c>
      <c r="J5" s="8" t="inlineStr">
        <is>
          <t>is_test=true</t>
        </is>
      </c>
      <c r="K5" s="8" t="inlineStr">
        <is>
          <t>Suppressed and retained</t>
        </is>
      </c>
      <c r="L5" s="8" t="inlineStr">
        <is>
          <t>docs/FORM3_PRODUCTION_RECONCILIATION.md</t>
        </is>
      </c>
      <c r="M5" s="8" t="inlineStr">
        <is>
          <t>PASS</t>
        </is>
      </c>
    </row>
  </sheetData>
  <autoFilter ref="A4:M5"/>
  <mergeCells count="2">
    <mergeCell ref="A2:M2"/>
    <mergeCell ref="A1:M1"/>
  </mergeCells>
  <printOptions horizontalCentered="1"/>
  <pageMargins left="0.25" right="0.25" top="0.35" bottom="0.3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32" customWidth="1" min="4" max="4"/>
    <col width="20" customWidth="1" min="5" max="5"/>
    <col width="38" customWidth="1" min="6" max="6"/>
    <col width="60" customWidth="1" min="7" max="7"/>
    <col width="20" customWidth="1" min="8" max="8"/>
    <col width="22" customWidth="1" min="9" max="9"/>
    <col width="16" customWidth="1" min="10" max="10"/>
  </cols>
  <sheetData>
    <row r="1" ht="32" customHeight="1">
      <c r="A1" s="5" t="inlineStr">
        <is>
          <t>Rollback Register</t>
        </is>
      </c>
    </row>
    <row r="2" ht="28" customHeight="1">
      <c r="A2" s="6" t="inlineStr">
        <is>
          <t>Never delete Gravity entries during rollback.</t>
        </is>
      </c>
    </row>
    <row r="4" ht="34" customHeight="1">
      <c r="A4" s="7" t="inlineStr">
        <is>
          <t>Form</t>
        </is>
      </c>
      <c r="B4" s="7" t="inlineStr">
        <is>
          <t>Previous state</t>
        </is>
      </c>
      <c r="C4" s="7" t="inlineStr">
        <is>
          <t>Current state</t>
        </is>
      </c>
      <c r="D4" s="7" t="inlineStr">
        <is>
          <t>Notification state</t>
        </is>
      </c>
      <c r="E4" s="7" t="inlineStr">
        <is>
          <t>Bridge state</t>
        </is>
      </c>
      <c r="F4" s="7" t="inlineStr">
        <is>
          <t>Backup package</t>
        </is>
      </c>
      <c r="G4" s="7" t="inlineStr">
        <is>
          <t>Rollback steps</t>
        </is>
      </c>
      <c r="H4" s="7" t="inlineStr">
        <is>
          <t>Rollback test date</t>
        </is>
      </c>
      <c r="I4" s="7" t="inlineStr">
        <is>
          <t>Owner</t>
        </is>
      </c>
      <c r="J4" s="7" t="inlineStr">
        <is>
          <t>Status</t>
        </is>
      </c>
    </row>
    <row r="5" ht="34" customHeight="1">
      <c r="A5" s="8" t="inlineStr">
        <is>
          <t>Form 1 - Contact Us</t>
        </is>
      </c>
      <c r="B5" s="8" t="inlineStr">
        <is>
          <t>Native notification active; not allowlisted</t>
        </is>
      </c>
      <c r="C5" s="8" t="inlineStr">
        <is>
          <t>Unchanged/shadow</t>
        </is>
      </c>
      <c r="D5" s="8" t="inlineStr">
        <is>
          <t>Admin Notification (active)</t>
        </is>
      </c>
      <c r="E5" s="8" t="inlineStr">
        <is>
          <t>Not allowlisted</t>
        </is>
      </c>
      <c r="F5" s="8" t="inlineStr">
        <is>
          <t>Per-form 1.1.0 config + GF export</t>
        </is>
      </c>
      <c r="G5" s="8" t="inlineStr">
        <is>
          <t>Disable per-form forwarding; restore only proven duplicate notification; preserve entries</t>
        </is>
      </c>
      <c r="H5" s="8" t="inlineStr"/>
      <c r="I5" s="8" t="inlineStr">
        <is>
          <t>Mike/admin review</t>
        </is>
      </c>
      <c r="J5" s="8" t="inlineStr">
        <is>
          <t>AVAILABLE</t>
        </is>
      </c>
    </row>
    <row r="6" ht="34" customHeight="1">
      <c r="A6" s="9" t="inlineStr">
        <is>
          <t>Form 2 - Cash Offer Form</t>
        </is>
      </c>
      <c r="B6" s="9" t="inlineStr">
        <is>
          <t>Native notification active; not allowlisted</t>
        </is>
      </c>
      <c r="C6" s="9" t="inlineStr">
        <is>
          <t>Unchanged/shadow</t>
        </is>
      </c>
      <c r="D6" s="9" t="inlineStr">
        <is>
          <t>Admin Notification (active)</t>
        </is>
      </c>
      <c r="E6" s="9" t="inlineStr">
        <is>
          <t>Not allowlisted</t>
        </is>
      </c>
      <c r="F6" s="9" t="inlineStr">
        <is>
          <t>Per-form 1.1.0 config + GF export</t>
        </is>
      </c>
      <c r="G6" s="9" t="inlineStr">
        <is>
          <t>Disable per-form forwarding; restore only proven duplicate notification; preserve entries</t>
        </is>
      </c>
      <c r="H6" s="9" t="inlineStr"/>
      <c r="I6" s="9" t="inlineStr">
        <is>
          <t>Mike</t>
        </is>
      </c>
      <c r="J6" s="9" t="inlineStr">
        <is>
          <t>AVAILABLE</t>
        </is>
      </c>
    </row>
    <row r="7" ht="34" customHeight="1">
      <c r="A7" s="8" t="inlineStr">
        <is>
          <t>Form 3 - Home Value Form</t>
        </is>
      </c>
      <c r="B7" s="8" t="inlineStr">
        <is>
          <t>Native notification active; bridge shadow</t>
        </is>
      </c>
      <c r="C7" s="8" t="inlineStr">
        <is>
          <t>Canonical active</t>
        </is>
      </c>
      <c r="D7" s="8" t="inlineStr">
        <is>
          <t>Admin Notification (inactive duplicate)</t>
        </is>
      </c>
      <c r="E7" s="8" t="inlineStr">
        <is>
          <t>Allowlisted</t>
        </is>
      </c>
      <c r="F7" s="8" t="inlineStr">
        <is>
          <t>wordpress-canonical-bridge-1.0.0-rollback.zip</t>
        </is>
      </c>
      <c r="G7" s="8" t="inlineStr">
        <is>
          <t>Disable per-form forwarding; restore only proven duplicate notification; preserve entries</t>
        </is>
      </c>
      <c r="H7" s="8" t="inlineStr">
        <is>
          <t>2026-08-14</t>
        </is>
      </c>
      <c r="I7" s="8" t="inlineStr">
        <is>
          <t>Mike</t>
        </is>
      </c>
      <c r="J7" s="8" t="inlineStr">
        <is>
          <t>PASS</t>
        </is>
      </c>
    </row>
    <row r="8" ht="34" customHeight="1">
      <c r="A8" s="9" t="inlineStr">
        <is>
          <t>Form 4 - Join Our Team Form</t>
        </is>
      </c>
      <c r="B8" s="9" t="inlineStr">
        <is>
          <t>Native notification active; not allowlisted</t>
        </is>
      </c>
      <c r="C8" s="9" t="inlineStr">
        <is>
          <t>Unchanged/shadow</t>
        </is>
      </c>
      <c r="D8" s="9" t="inlineStr">
        <is>
          <t>Admin Notification (active)</t>
        </is>
      </c>
      <c r="E8" s="9" t="inlineStr">
        <is>
          <t>Not allowlisted</t>
        </is>
      </c>
      <c r="F8" s="9" t="inlineStr">
        <is>
          <t>GF export</t>
        </is>
      </c>
      <c r="G8" s="9" t="inlineStr">
        <is>
          <t>Disable per-form forwarding; restore only proven duplicate notification; preserve entries</t>
        </is>
      </c>
      <c r="H8" s="9" t="inlineStr"/>
      <c r="I8" s="9" t="inlineStr">
        <is>
          <t>Unverified</t>
        </is>
      </c>
      <c r="J8" s="9" t="inlineStr">
        <is>
          <t>AVAILABLE</t>
        </is>
      </c>
    </row>
    <row r="9" ht="34" customHeight="1">
      <c r="A9" s="8" t="inlineStr">
        <is>
          <t>Form 5 - Rental Property Search</t>
        </is>
      </c>
      <c r="B9" s="8" t="inlineStr">
        <is>
          <t>Native notification active; not allowlisted</t>
        </is>
      </c>
      <c r="C9" s="8" t="inlineStr">
        <is>
          <t>Unchanged/shadow</t>
        </is>
      </c>
      <c r="D9" s="8" t="inlineStr">
        <is>
          <t>Admin Notification (active)</t>
        </is>
      </c>
      <c r="E9" s="8" t="inlineStr">
        <is>
          <t>Not allowlisted</t>
        </is>
      </c>
      <c r="F9" s="8" t="inlineStr">
        <is>
          <t>Per-form 1.1.0 config + GF export</t>
        </is>
      </c>
      <c r="G9" s="8" t="inlineStr">
        <is>
          <t>Disable per-form forwarding; restore only proven duplicate notification; preserve entries</t>
        </is>
      </c>
      <c r="H9" s="8" t="inlineStr"/>
      <c r="I9" s="8" t="inlineStr">
        <is>
          <t>Unverified</t>
        </is>
      </c>
      <c r="J9" s="8" t="inlineStr">
        <is>
          <t>AVAILABLE</t>
        </is>
      </c>
    </row>
    <row r="10" ht="34" customHeight="1">
      <c r="A10" s="9" t="inlineStr">
        <is>
          <t>Form 6 - Short Term Home Rentals form</t>
        </is>
      </c>
      <c r="B10" s="9" t="inlineStr">
        <is>
          <t>Native notification active; not allowlisted</t>
        </is>
      </c>
      <c r="C10" s="9" t="inlineStr">
        <is>
          <t>Unchanged/shadow</t>
        </is>
      </c>
      <c r="D10" s="9" t="inlineStr">
        <is>
          <t>Admin Notification (active)</t>
        </is>
      </c>
      <c r="E10" s="9" t="inlineStr">
        <is>
          <t>Not allowlisted</t>
        </is>
      </c>
      <c r="F10" s="9" t="inlineStr">
        <is>
          <t>Per-form 1.1.0 config + GF export</t>
        </is>
      </c>
      <c r="G10" s="9" t="inlineStr">
        <is>
          <t>Disable per-form forwarding; restore only proven duplicate notification; preserve entries</t>
        </is>
      </c>
      <c r="H10" s="9" t="inlineStr"/>
      <c r="I10" s="9" t="inlineStr">
        <is>
          <t>Mike/admin review</t>
        </is>
      </c>
      <c r="J10" s="9" t="inlineStr">
        <is>
          <t>AVAILABLE</t>
        </is>
      </c>
    </row>
    <row r="11" ht="34" customHeight="1">
      <c r="A11" s="8" t="inlineStr">
        <is>
          <t>Form 7 - Never miss a property!</t>
        </is>
      </c>
      <c r="B11" s="8" t="inlineStr">
        <is>
          <t>Native notification active; not allowlisted</t>
        </is>
      </c>
      <c r="C11" s="8" t="inlineStr">
        <is>
          <t>Unchanged/shadow</t>
        </is>
      </c>
      <c r="D11" s="8" t="inlineStr">
        <is>
          <t>Admin Notification (active)</t>
        </is>
      </c>
      <c r="E11" s="8" t="inlineStr">
        <is>
          <t>Not allowlisted</t>
        </is>
      </c>
      <c r="F11" s="8" t="inlineStr">
        <is>
          <t>Per-form 1.1.0 config + GF export</t>
        </is>
      </c>
      <c r="G11" s="8" t="inlineStr">
        <is>
          <t>Disable per-form forwarding; restore only proven duplicate notification; preserve entries</t>
        </is>
      </c>
      <c r="H11" s="8" t="inlineStr"/>
      <c r="I11" s="8" t="inlineStr">
        <is>
          <t>Mike/admin review</t>
        </is>
      </c>
      <c r="J11" s="8" t="inlineStr">
        <is>
          <t>AVAILABLE</t>
        </is>
      </c>
    </row>
  </sheetData>
  <autoFilter ref="A4:J11"/>
  <mergeCells count="2">
    <mergeCell ref="A1:J1"/>
    <mergeCell ref="A2:J2"/>
  </mergeCells>
  <conditionalFormatting sqref="J5:J11">
    <cfRule type="expression" priority="1" dxfId="0">
      <formula>ISNUMBER(SEARCH("ACTIVE",J5))</formula>
    </cfRule>
    <cfRule type="expression" priority="2" dxfId="1">
      <formula>OR(ISNUMBER(SEARCH("BLOCK",J5)),ISNUMBER(SEARCH("FAIL",J5)),ISNUMBER(SEARCH("DEFER",J5)))</formula>
    </cfRule>
    <cfRule type="expression" priority="3" dxfId="2">
      <formula>OR(ISNUMBER(SEARCH("SHADOW",J5)),ISNUMBER(SEARCH("PENDING",J5)))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