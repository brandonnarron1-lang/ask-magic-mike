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cceptance Checklist" sheetId="2" state="visible" r:id="rId2"/>
    <sheet xmlns:r="http://schemas.openxmlformats.org/officeDocument/2006/relationships" name="Timing Ledger" sheetId="3" state="visible" r:id="rId3"/>
    <sheet xmlns:r="http://schemas.openxmlformats.org/officeDocument/2006/relationships" name="Evidence Register" sheetId="4" state="visible" r:id="rId4"/>
  </sheets>
  <definedNames>
    <definedName name="_xlnm.Print_Area" localSheetId="0">'Executive Summary'!$A$1:$H$11</definedName>
    <definedName name="_xlnm._FilterDatabase" localSheetId="1" hidden="1">'Acceptance Checklist'!$A$4:$F$26</definedName>
    <definedName name="_xlnm.Print_Titles" localSheetId="1">'Acceptance Checklist'!$1:$4</definedName>
    <definedName name="_xlnm.Print_Area" localSheetId="1">'Acceptance Checklist'!$A$1:$F$27</definedName>
    <definedName name="_xlnm._FilterDatabase" localSheetId="2" hidden="1">'Timing Ledger'!$A$4:$H$4</definedName>
    <definedName name="_xlnm.Print_Titles" localSheetId="2">'Timing Ledger'!$1:$4</definedName>
    <definedName name="_xlnm.Print_Area" localSheetId="2">'Timing Ledger'!$A$1:$H$104</definedName>
    <definedName name="_xlnm._FilterDatabase" localSheetId="3" hidden="1">'Evidence Register'!$A$4:$F$4</definedName>
    <definedName name="_xlnm.Print_Titles" localSheetId="3">'Evidence Register'!$1:$4</definedName>
    <definedName name="_xlnm.Print_Area" localSheetId="3">'Evidence Register'!$A$1:$F$4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First Genuine Lead Acceptance Template</t>
        </is>
      </c>
    </row>
    <row r="2" ht="30" customHeight="1">
      <c r="A2" s="2" t="inlineStr">
        <is>
          <t>Private operator checklist. Do not place customer PII in screenshots, exported evidence, or this shared template.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  <row r="7">
      <c r="A7" s="3" t="inlineStr">
        <is>
          <t>Current genuine live leads</t>
        </is>
      </c>
      <c r="B7" s="4" t="n">
        <v>0</v>
      </c>
    </row>
    <row r="8">
      <c r="A8" s="3" t="inlineStr">
        <is>
          <t>Current suppressed QA</t>
        </is>
      </c>
      <c r="B8" s="4" t="n">
        <v>6</v>
      </c>
    </row>
    <row r="9">
      <c r="A9" s="3" t="inlineStr">
        <is>
          <t>Current QA in Active/New</t>
        </is>
      </c>
      <c r="B9" s="4" t="n">
        <v>0</v>
      </c>
    </row>
    <row r="10">
      <c r="A10" s="3" t="inlineStr">
        <is>
          <t>Acceptance readiness</t>
        </is>
      </c>
      <c r="B10" s="4">
        <f>'Acceptance Checklist'!F27</f>
        <v/>
      </c>
    </row>
    <row r="11">
      <c r="A11" s="3" t="inlineStr">
        <is>
          <t>Evidence classification</t>
        </is>
      </c>
      <c r="B11" s="4" t="inlineStr">
        <is>
          <t>VERIFIED baseline; first-live outcome remains NOT YET OBSERVED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2" customWidth="1" min="3" max="3"/>
    <col width="22" customWidth="1" min="4" max="4"/>
    <col width="16" customWidth="1" min="5" max="5"/>
    <col width="48" customWidth="1" min="6" max="6"/>
  </cols>
  <sheetData>
    <row r="1" ht="32" customHeight="1">
      <c r="A1" s="5" t="inlineStr">
        <is>
          <t>First Genuine Lead Acceptance</t>
        </is>
      </c>
    </row>
    <row r="2" ht="28" customHeight="1">
      <c r="A2" s="6" t="inlineStr">
        <is>
          <t>Complete only after a genuine public submission. Never fabricate a prospect.</t>
        </is>
      </c>
    </row>
    <row r="4" ht="34" customHeight="1">
      <c r="A4" s="7" t="inlineStr">
        <is>
          <t>Step</t>
        </is>
      </c>
      <c r="B4" s="7" t="inlineStr">
        <is>
          <t>Control</t>
        </is>
      </c>
      <c r="C4" s="7" t="inlineStr">
        <is>
          <t>Expected evidence</t>
        </is>
      </c>
      <c r="D4" s="7" t="inlineStr">
        <is>
          <t>Owner</t>
        </is>
      </c>
      <c r="E4" s="7" t="inlineStr">
        <is>
          <t>Status</t>
        </is>
      </c>
      <c r="F4" s="7" t="inlineStr">
        <is>
          <t>Safe evidence reference</t>
        </is>
      </c>
    </row>
    <row r="5" ht="34" customHeight="1">
      <c r="A5" s="8" t="n">
        <v>1</v>
      </c>
      <c r="B5" s="8" t="inlineStr">
        <is>
          <t>Not QA</t>
        </is>
      </c>
      <c r="C5" s="8" t="inlineStr">
        <is>
          <t>test=false with no explicit QA evidence</t>
        </is>
      </c>
      <c r="D5" s="8" t="inlineStr">
        <is>
          <t>Administrator</t>
        </is>
      </c>
      <c r="E5" s="8" t="inlineStr">
        <is>
          <t>PENDING</t>
        </is>
      </c>
      <c r="F5" s="8" t="inlineStr"/>
    </row>
    <row r="6" ht="34" customHeight="1">
      <c r="A6" s="9" t="n">
        <v>2</v>
      </c>
      <c r="B6" s="9" t="inlineStr">
        <is>
          <t>Not suppressed</t>
        </is>
      </c>
      <c r="C6" s="9" t="inlineStr">
        <is>
          <t>communication_suppressed=false</t>
        </is>
      </c>
      <c r="D6" s="9" t="inlineStr">
        <is>
          <t>Administrator</t>
        </is>
      </c>
      <c r="E6" s="9" t="inlineStr">
        <is>
          <t>PENDING</t>
        </is>
      </c>
      <c r="F6" s="9" t="inlineStr"/>
    </row>
    <row r="7" ht="34" customHeight="1">
      <c r="A7" s="8" t="n">
        <v>3</v>
      </c>
      <c r="B7" s="8" t="inlineStr">
        <is>
          <t>Durable persistence</t>
        </is>
      </c>
      <c r="C7" s="8" t="inlineStr">
        <is>
          <t>One Neon lead ID exists before notifications</t>
        </is>
      </c>
      <c r="D7" s="8" t="inlineStr">
        <is>
          <t>System</t>
        </is>
      </c>
      <c r="E7" s="8" t="inlineStr">
        <is>
          <t>PENDING</t>
        </is>
      </c>
      <c r="F7" s="8" t="inlineStr"/>
    </row>
    <row r="8" ht="34" customHeight="1">
      <c r="A8" s="9" t="n">
        <v>4</v>
      </c>
      <c r="B8" s="9" t="inlineStr">
        <is>
          <t>Exactly one canonical lead</t>
        </is>
      </c>
      <c r="C8" s="9" t="inlineStr">
        <is>
          <t>Idempotency/dedupe query returns one master</t>
        </is>
      </c>
      <c r="D8" s="9" t="inlineStr">
        <is>
          <t>System</t>
        </is>
      </c>
      <c r="E8" s="9" t="inlineStr">
        <is>
          <t>PENDING</t>
        </is>
      </c>
      <c r="F8" s="9" t="inlineStr"/>
    </row>
    <row r="9" ht="34" customHeight="1">
      <c r="A9" s="8" t="n">
        <v>5</v>
      </c>
      <c r="B9" s="8" t="inlineStr">
        <is>
          <t>Source and attribution</t>
        </is>
      </c>
      <c r="C9" s="8" t="inlineStr">
        <is>
          <t>Source URL, placement, first/last touch, UTMs/click IDs</t>
        </is>
      </c>
      <c r="D9" s="8" t="inlineStr">
        <is>
          <t>Administrator</t>
        </is>
      </c>
      <c r="E9" s="8" t="inlineStr">
        <is>
          <t>PENDING</t>
        </is>
      </c>
      <c r="F9" s="8" t="inlineStr"/>
    </row>
    <row r="10" ht="34" customHeight="1">
      <c r="A10" s="9" t="n">
        <v>6</v>
      </c>
      <c r="B10" s="9" t="inlineStr">
        <is>
          <t>Consent evidence</t>
        </is>
      </c>
      <c r="C10" s="9" t="inlineStr">
        <is>
          <t>Exact text/version/timestamp and permitted channels</t>
        </is>
      </c>
      <c r="D10" s="9" t="inlineStr">
        <is>
          <t>Administrator</t>
        </is>
      </c>
      <c r="E10" s="9" t="inlineStr">
        <is>
          <t>PENDING</t>
        </is>
      </c>
      <c r="F10" s="9" t="inlineStr"/>
    </row>
    <row r="11" ht="34" customHeight="1">
      <c r="A11" s="8" t="n">
        <v>7</v>
      </c>
      <c r="B11" s="8" t="inlineStr">
        <is>
          <t>Explainable score</t>
        </is>
      </c>
      <c r="C11" s="8" t="inlineStr">
        <is>
          <t>Score, grade, factors, and weights visible</t>
        </is>
      </c>
      <c r="D11" s="8" t="inlineStr">
        <is>
          <t>System</t>
        </is>
      </c>
      <c r="E11" s="8" t="inlineStr">
        <is>
          <t>PENDING</t>
        </is>
      </c>
      <c r="F11" s="8" t="inlineStr"/>
    </row>
    <row r="12" ht="34" customHeight="1">
      <c r="A12" s="9" t="n">
        <v>8</v>
      </c>
      <c r="B12" s="9" t="inlineStr">
        <is>
          <t>Approved owner</t>
        </is>
      </c>
      <c r="C12" s="9" t="inlineStr">
        <is>
          <t>Mike or explicit approved fallback with routing reason</t>
        </is>
      </c>
      <c r="D12" s="9" t="inlineStr">
        <is>
          <t>System</t>
        </is>
      </c>
      <c r="E12" s="9" t="inlineStr">
        <is>
          <t>PENDING</t>
        </is>
      </c>
      <c r="F12" s="9" t="inlineStr"/>
    </row>
    <row r="13" ht="34" customHeight="1">
      <c r="A13" s="8" t="n">
        <v>9</v>
      </c>
      <c r="B13" s="8" t="inlineStr">
        <is>
          <t>Assignment audit</t>
        </is>
      </c>
      <c r="C13" s="8" t="inlineStr">
        <is>
          <t>Prior/new owner, actor, reason, timestamp</t>
        </is>
      </c>
      <c r="D13" s="8" t="inlineStr">
        <is>
          <t>System</t>
        </is>
      </c>
      <c r="E13" s="8" t="inlineStr">
        <is>
          <t>PENDING</t>
        </is>
      </c>
      <c r="F13" s="8" t="inlineStr"/>
    </row>
    <row r="14" ht="34" customHeight="1">
      <c r="A14" s="9" t="n">
        <v>10</v>
      </c>
      <c r="B14" s="9" t="inlineStr">
        <is>
          <t>Internal email outbox</t>
        </is>
      </c>
      <c r="C14" s="9" t="inlineStr">
        <is>
          <t>One idempotent notification record</t>
        </is>
      </c>
      <c r="D14" s="9" t="inlineStr">
        <is>
          <t>System</t>
        </is>
      </c>
      <c r="E14" s="9" t="inlineStr">
        <is>
          <t>PENDING</t>
        </is>
      </c>
      <c r="F14" s="9" t="inlineStr"/>
    </row>
    <row r="15" ht="34" customHeight="1">
      <c r="A15" s="8" t="n">
        <v>11</v>
      </c>
      <c r="B15" s="8" t="inlineStr">
        <is>
          <t>Provider result</t>
        </is>
      </c>
      <c r="C15" s="8" t="inlineStr">
        <is>
          <t>Provider ID and terminal/known status</t>
        </is>
      </c>
      <c r="D15" s="8" t="inlineStr">
        <is>
          <t>System</t>
        </is>
      </c>
      <c r="E15" s="8" t="inlineStr">
        <is>
          <t>PENDING</t>
        </is>
      </c>
      <c r="F15" s="8" t="inlineStr"/>
    </row>
    <row r="16" ht="34" customHeight="1">
      <c r="A16" s="9" t="n">
        <v>12</v>
      </c>
      <c r="B16" s="9" t="inlineStr">
        <is>
          <t>Hidden audit copy</t>
        </is>
      </c>
      <c r="C16" s="9" t="inlineStr">
        <is>
          <t>BCC result confirmed without revealing address</t>
        </is>
      </c>
      <c r="D16" s="9" t="inlineStr">
        <is>
          <t>Administrator</t>
        </is>
      </c>
      <c r="E16" s="9" t="inlineStr">
        <is>
          <t>PENDING</t>
        </is>
      </c>
      <c r="F16" s="9" t="inlineStr"/>
    </row>
    <row r="17" ht="34" customHeight="1">
      <c r="A17" s="8" t="n">
        <v>13</v>
      </c>
      <c r="B17" s="8" t="inlineStr">
        <is>
          <t>Web Push</t>
        </is>
      </c>
      <c r="C17" s="8" t="inlineStr">
        <is>
          <t>Attempt/result only when enrolled device exists</t>
        </is>
      </c>
      <c r="D17" s="8" t="inlineStr">
        <is>
          <t>System</t>
        </is>
      </c>
      <c r="E17" s="8" t="inlineStr">
        <is>
          <t>PENDING</t>
        </is>
      </c>
      <c r="F17" s="8" t="inlineStr"/>
    </row>
    <row r="18" ht="34" customHeight="1">
      <c r="A18" s="9" t="n">
        <v>14</v>
      </c>
      <c r="B18" s="9" t="inlineStr">
        <is>
          <t>No duplicate</t>
        </is>
      </c>
      <c r="C18" s="9" t="inlineStr">
        <is>
          <t>No duplicate lead or duplicate alert</t>
        </is>
      </c>
      <c r="D18" s="9" t="inlineStr">
        <is>
          <t>System</t>
        </is>
      </c>
      <c r="E18" s="9" t="inlineStr">
        <is>
          <t>PENDING</t>
        </is>
      </c>
      <c r="F18" s="9" t="inlineStr"/>
    </row>
    <row r="19" ht="34" customHeight="1">
      <c r="A19" s="8" t="n">
        <v>15</v>
      </c>
      <c r="B19" s="8" t="inlineStr">
        <is>
          <t>Assignment timer</t>
        </is>
      </c>
      <c r="C19" s="8" t="inlineStr">
        <is>
          <t>Internal timer started from durable creation</t>
        </is>
      </c>
      <c r="D19" s="8" t="inlineStr">
        <is>
          <t>System</t>
        </is>
      </c>
      <c r="E19" s="8" t="inlineStr">
        <is>
          <t>PENDING</t>
        </is>
      </c>
      <c r="F19" s="8" t="inlineStr"/>
    </row>
    <row r="20" ht="34" customHeight="1">
      <c r="A20" s="9" t="n">
        <v>16</v>
      </c>
      <c r="B20" s="9" t="inlineStr">
        <is>
          <t>First-contact timer</t>
        </is>
      </c>
      <c r="C20" s="9" t="inlineStr">
        <is>
          <t>Timer started; no public response-time promise</t>
        </is>
      </c>
      <c r="D20" s="9" t="inlineStr">
        <is>
          <t>System</t>
        </is>
      </c>
      <c r="E20" s="9" t="inlineStr">
        <is>
          <t>PENDING</t>
        </is>
      </c>
      <c r="F20" s="9" t="inlineStr"/>
    </row>
    <row r="21" ht="34" customHeight="1">
      <c r="A21" s="8" t="n">
        <v>17</v>
      </c>
      <c r="B21" s="8" t="inlineStr">
        <is>
          <t>Escalation</t>
        </is>
      </c>
      <c r="C21" s="8" t="inlineStr">
        <is>
          <t>Unassigned/undelivered condition escalates</t>
        </is>
      </c>
      <c r="D21" s="8" t="inlineStr">
        <is>
          <t>System</t>
        </is>
      </c>
      <c r="E21" s="8" t="inlineStr">
        <is>
          <t>PENDING</t>
        </is>
      </c>
      <c r="F21" s="8" t="inlineStr"/>
    </row>
    <row r="22" ht="34" customHeight="1">
      <c r="A22" s="9" t="n">
        <v>18</v>
      </c>
      <c r="B22" s="9" t="inlineStr">
        <is>
          <t>Human acknowledgment</t>
        </is>
      </c>
      <c r="C22" s="9" t="inlineStr">
        <is>
          <t>Authorized operator records acknowledgment</t>
        </is>
      </c>
      <c r="D22" s="9" t="inlineStr">
        <is>
          <t>Assigned owner</t>
        </is>
      </c>
      <c r="E22" s="9" t="inlineStr">
        <is>
          <t>PENDING</t>
        </is>
      </c>
      <c r="F22" s="9" t="inlineStr"/>
    </row>
    <row r="23" ht="34" customHeight="1">
      <c r="A23" s="8" t="n">
        <v>19</v>
      </c>
      <c r="B23" s="8" t="inlineStr">
        <is>
          <t>Contact outcome</t>
        </is>
      </c>
      <c r="C23" s="8" t="inlineStr">
        <is>
          <t>Permitted outcome recorded without excess PII</t>
        </is>
      </c>
      <c r="D23" s="8" t="inlineStr">
        <is>
          <t>Assigned owner</t>
        </is>
      </c>
      <c r="E23" s="8" t="inlineStr">
        <is>
          <t>PENDING</t>
        </is>
      </c>
      <c r="F23" s="8" t="inlineStr"/>
    </row>
    <row r="24" ht="34" customHeight="1">
      <c r="A24" s="9" t="n">
        <v>20</v>
      </c>
      <c r="B24" s="9" t="inlineStr">
        <is>
          <t>Channel guardrails</t>
        </is>
      </c>
      <c r="C24" s="9" t="inlineStr">
        <is>
          <t>No carrier SMS or unsupported marketing</t>
        </is>
      </c>
      <c r="D24" s="9" t="inlineStr">
        <is>
          <t>Administrator</t>
        </is>
      </c>
      <c r="E24" s="9" t="inlineStr">
        <is>
          <t>PENDING</t>
        </is>
      </c>
      <c r="F24" s="9" t="inlineStr"/>
    </row>
    <row r="25" ht="34" customHeight="1">
      <c r="A25" s="8" t="n">
        <v>21</v>
      </c>
      <c r="B25" s="8" t="inlineStr">
        <is>
          <t>Reporting inclusion</t>
        </is>
      </c>
      <c r="C25" s="8" t="inlineStr">
        <is>
          <t>Included only in live KPIs after genuine classification</t>
        </is>
      </c>
      <c r="D25" s="8" t="inlineStr">
        <is>
          <t>System</t>
        </is>
      </c>
      <c r="E25" s="8" t="inlineStr">
        <is>
          <t>PENDING</t>
        </is>
      </c>
      <c r="F25" s="8" t="inlineStr"/>
    </row>
    <row r="26" ht="34" customHeight="1">
      <c r="A26" s="9" t="n">
        <v>22</v>
      </c>
      <c r="B26" s="9" t="inlineStr">
        <is>
          <t>Private reconciliation</t>
        </is>
      </c>
      <c r="C26" s="9" t="inlineStr">
        <is>
          <t>Sensitive details remain in authenticated Lead Center</t>
        </is>
      </c>
      <c r="D26" s="9" t="inlineStr">
        <is>
          <t>Administrator</t>
        </is>
      </c>
      <c r="E26" s="9" t="inlineStr">
        <is>
          <t>PENDING</t>
        </is>
      </c>
      <c r="F26" s="9" t="inlineStr"/>
    </row>
    <row r="27">
      <c r="E27" s="3" t="inlineStr">
        <is>
          <t>Overall</t>
        </is>
      </c>
      <c r="F27" s="4">
        <f>IF(COUNTIF(E5:E26,"FAIL")&gt;0,"FAIL",IF(COUNTIF(E5:E26,"PENDING")&gt;0,"PENDING","PASS"))</f>
        <v/>
      </c>
    </row>
  </sheetData>
  <autoFilter ref="A4:F26"/>
  <mergeCells count="2">
    <mergeCell ref="A2:F2"/>
    <mergeCell ref="A1:F1"/>
  </mergeCells>
  <dataValidations count="1">
    <dataValidation sqref="E5:E26" showDropDown="0" showInputMessage="0" showErrorMessage="0" allowBlank="0" type="list">
      <formula1>"PENDING,PASS,FAIL,N/A"</formula1>
    </dataValidation>
  </dataValidation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  <col width="26" customWidth="1" min="4" max="4"/>
    <col width="26" customWidth="1" min="5" max="5"/>
    <col width="18" customWidth="1" min="6" max="6"/>
    <col width="18" customWidth="1" min="7" max="7"/>
    <col width="22" customWidth="1" min="8" max="8"/>
  </cols>
  <sheetData>
    <row r="1" ht="32" customHeight="1">
      <c r="A1" s="5" t="inlineStr">
        <is>
          <t>Private Timing Ledger</t>
        </is>
      </c>
    </row>
    <row r="2" ht="28" customHeight="1">
      <c r="A2" s="6" t="inlineStr">
        <is>
          <t>Use lead ID/correlation ID only; do not duplicate contact details here.</t>
        </is>
      </c>
    </row>
    <row r="4" ht="34" customHeight="1">
      <c r="A4" s="7" t="inlineStr">
        <is>
          <t>Lead ID</t>
        </is>
      </c>
      <c r="B4" s="7" t="inlineStr">
        <is>
          <t>Created UTC</t>
        </is>
      </c>
      <c r="C4" s="7" t="inlineStr">
        <is>
          <t>Assigned UTC</t>
        </is>
      </c>
      <c r="D4" s="7" t="inlineStr">
        <is>
          <t>Acknowledged UTC</t>
        </is>
      </c>
      <c r="E4" s="7" t="inlineStr">
        <is>
          <t>First contact UTC</t>
        </is>
      </c>
      <c r="F4" s="7" t="inlineStr">
        <is>
          <t>Assignment sec</t>
        </is>
      </c>
      <c r="G4" s="7" t="inlineStr">
        <is>
          <t>Contact sec</t>
        </is>
      </c>
      <c r="H4" s="7" t="inlineStr">
        <is>
          <t>Result</t>
        </is>
      </c>
    </row>
    <row r="5">
      <c r="A5" s="10" t="n"/>
      <c r="B5" s="10" t="n"/>
      <c r="C5" s="10" t="n"/>
      <c r="D5" s="10" t="n"/>
      <c r="E5" s="10" t="n"/>
      <c r="F5" s="10">
        <f>IF(OR(B5="",C5=""),"",(C5-B5)*86400)</f>
        <v/>
      </c>
      <c r="G5" s="10">
        <f>IF(OR(B5="",E5=""),"",(E5-B5)*86400)</f>
        <v/>
      </c>
      <c r="H5" s="10">
        <f>IF(A5="","",IF(OR(F5&gt;120,G5&gt;300),"REVIEW","WITHIN INTERNAL TARGET"))</f>
        <v/>
      </c>
    </row>
    <row r="6">
      <c r="A6" s="10" t="n"/>
      <c r="B6" s="10" t="n"/>
      <c r="C6" s="10" t="n"/>
      <c r="D6" s="10" t="n"/>
      <c r="E6" s="10" t="n"/>
      <c r="F6" s="10">
        <f>IF(OR(B6="",C6=""),"",(C6-B6)*86400)</f>
        <v/>
      </c>
      <c r="G6" s="10">
        <f>IF(OR(B6="",E6=""),"",(E6-B6)*86400)</f>
        <v/>
      </c>
      <c r="H6" s="10">
        <f>IF(A6="","",IF(OR(F6&gt;120,G6&gt;300),"REVIEW","WITHIN INTERNAL TARGET"))</f>
        <v/>
      </c>
    </row>
    <row r="7">
      <c r="A7" s="10" t="n"/>
      <c r="B7" s="10" t="n"/>
      <c r="C7" s="10" t="n"/>
      <c r="D7" s="10" t="n"/>
      <c r="E7" s="10" t="n"/>
      <c r="F7" s="10">
        <f>IF(OR(B7="",C7=""),"",(C7-B7)*86400)</f>
        <v/>
      </c>
      <c r="G7" s="10">
        <f>IF(OR(B7="",E7=""),"",(E7-B7)*86400)</f>
        <v/>
      </c>
      <c r="H7" s="10">
        <f>IF(A7="","",IF(OR(F7&gt;120,G7&gt;300),"REVIEW","WITHIN INTERNAL TARGET"))</f>
        <v/>
      </c>
    </row>
    <row r="8">
      <c r="A8" s="10" t="n"/>
      <c r="B8" s="10" t="n"/>
      <c r="C8" s="10" t="n"/>
      <c r="D8" s="10" t="n"/>
      <c r="E8" s="10" t="n"/>
      <c r="F8" s="10">
        <f>IF(OR(B8="",C8=""),"",(C8-B8)*86400)</f>
        <v/>
      </c>
      <c r="G8" s="10">
        <f>IF(OR(B8="",E8=""),"",(E8-B8)*86400)</f>
        <v/>
      </c>
      <c r="H8" s="10">
        <f>IF(A8="","",IF(OR(F8&gt;120,G8&gt;300),"REVIEW","WITHIN INTERNAL TARGET"))</f>
        <v/>
      </c>
    </row>
    <row r="9">
      <c r="A9" s="10" t="n"/>
      <c r="B9" s="10" t="n"/>
      <c r="C9" s="10" t="n"/>
      <c r="D9" s="10" t="n"/>
      <c r="E9" s="10" t="n"/>
      <c r="F9" s="10">
        <f>IF(OR(B9="",C9=""),"",(C9-B9)*86400)</f>
        <v/>
      </c>
      <c r="G9" s="10">
        <f>IF(OR(B9="",E9=""),"",(E9-B9)*86400)</f>
        <v/>
      </c>
      <c r="H9" s="10">
        <f>IF(A9="","",IF(OR(F9&gt;120,G9&gt;300),"REVIEW","WITHIN INTERNAL TARGET"))</f>
        <v/>
      </c>
    </row>
    <row r="10">
      <c r="A10" s="10" t="n"/>
      <c r="B10" s="10" t="n"/>
      <c r="C10" s="10" t="n"/>
      <c r="D10" s="10" t="n"/>
      <c r="E10" s="10" t="n"/>
      <c r="F10" s="10">
        <f>IF(OR(B10="",C10=""),"",(C10-B10)*86400)</f>
        <v/>
      </c>
      <c r="G10" s="10">
        <f>IF(OR(B10="",E10=""),"",(E10-B10)*86400)</f>
        <v/>
      </c>
      <c r="H10" s="10">
        <f>IF(A10="","",IF(OR(F10&gt;120,G10&gt;300),"REVIEW","WITHIN INTERNAL TARGET"))</f>
        <v/>
      </c>
    </row>
    <row r="11">
      <c r="A11" s="10" t="n"/>
      <c r="B11" s="10" t="n"/>
      <c r="C11" s="10" t="n"/>
      <c r="D11" s="10" t="n"/>
      <c r="E11" s="10" t="n"/>
      <c r="F11" s="10">
        <f>IF(OR(B11="",C11=""),"",(C11-B11)*86400)</f>
        <v/>
      </c>
      <c r="G11" s="10">
        <f>IF(OR(B11="",E11=""),"",(E11-B11)*86400)</f>
        <v/>
      </c>
      <c r="H11" s="10">
        <f>IF(A11="","",IF(OR(F11&gt;120,G11&gt;300),"REVIEW","WITHIN INTERNAL TARGET"))</f>
        <v/>
      </c>
    </row>
    <row r="12">
      <c r="A12" s="10" t="n"/>
      <c r="B12" s="10" t="n"/>
      <c r="C12" s="10" t="n"/>
      <c r="D12" s="10" t="n"/>
      <c r="E12" s="10" t="n"/>
      <c r="F12" s="10">
        <f>IF(OR(B12="",C12=""),"",(C12-B12)*86400)</f>
        <v/>
      </c>
      <c r="G12" s="10">
        <f>IF(OR(B12="",E12=""),"",(E12-B12)*86400)</f>
        <v/>
      </c>
      <c r="H12" s="10">
        <f>IF(A12="","",IF(OR(F12&gt;120,G12&gt;300),"REVIEW","WITHIN INTERNAL TARGET"))</f>
        <v/>
      </c>
    </row>
    <row r="13">
      <c r="A13" s="10" t="n"/>
      <c r="B13" s="10" t="n"/>
      <c r="C13" s="10" t="n"/>
      <c r="D13" s="10" t="n"/>
      <c r="E13" s="10" t="n"/>
      <c r="F13" s="10">
        <f>IF(OR(B13="",C13=""),"",(C13-B13)*86400)</f>
        <v/>
      </c>
      <c r="G13" s="10">
        <f>IF(OR(B13="",E13=""),"",(E13-B13)*86400)</f>
        <v/>
      </c>
      <c r="H13" s="10">
        <f>IF(A13="","",IF(OR(F13&gt;120,G13&gt;300),"REVIEW","WITHIN INTERNAL TARGET"))</f>
        <v/>
      </c>
    </row>
    <row r="14">
      <c r="A14" s="10" t="n"/>
      <c r="B14" s="10" t="n"/>
      <c r="C14" s="10" t="n"/>
      <c r="D14" s="10" t="n"/>
      <c r="E14" s="10" t="n"/>
      <c r="F14" s="10">
        <f>IF(OR(B14="",C14=""),"",(C14-B14)*86400)</f>
        <v/>
      </c>
      <c r="G14" s="10">
        <f>IF(OR(B14="",E14=""),"",(E14-B14)*86400)</f>
        <v/>
      </c>
      <c r="H14" s="10">
        <f>IF(A14="","",IF(OR(F14&gt;120,G14&gt;300),"REVIEW","WITHIN INTERNAL TARGET"))</f>
        <v/>
      </c>
    </row>
    <row r="15">
      <c r="A15" s="10" t="n"/>
      <c r="B15" s="10" t="n"/>
      <c r="C15" s="10" t="n"/>
      <c r="D15" s="10" t="n"/>
      <c r="E15" s="10" t="n"/>
      <c r="F15" s="10">
        <f>IF(OR(B15="",C15=""),"",(C15-B15)*86400)</f>
        <v/>
      </c>
      <c r="G15" s="10">
        <f>IF(OR(B15="",E15=""),"",(E15-B15)*86400)</f>
        <v/>
      </c>
      <c r="H15" s="10">
        <f>IF(A15="","",IF(OR(F15&gt;120,G15&gt;300),"REVIEW","WITHIN INTERNAL TARGET"))</f>
        <v/>
      </c>
    </row>
    <row r="16">
      <c r="A16" s="10" t="n"/>
      <c r="B16" s="10" t="n"/>
      <c r="C16" s="10" t="n"/>
      <c r="D16" s="10" t="n"/>
      <c r="E16" s="10" t="n"/>
      <c r="F16" s="10">
        <f>IF(OR(B16="",C16=""),"",(C16-B16)*86400)</f>
        <v/>
      </c>
      <c r="G16" s="10">
        <f>IF(OR(B16="",E16=""),"",(E16-B16)*86400)</f>
        <v/>
      </c>
      <c r="H16" s="10">
        <f>IF(A16="","",IF(OR(F16&gt;120,G16&gt;300),"REVIEW","WITHIN INTERNAL TARGET"))</f>
        <v/>
      </c>
    </row>
    <row r="17">
      <c r="A17" s="10" t="n"/>
      <c r="B17" s="10" t="n"/>
      <c r="C17" s="10" t="n"/>
      <c r="D17" s="10" t="n"/>
      <c r="E17" s="10" t="n"/>
      <c r="F17" s="10">
        <f>IF(OR(B17="",C17=""),"",(C17-B17)*86400)</f>
        <v/>
      </c>
      <c r="G17" s="10">
        <f>IF(OR(B17="",E17=""),"",(E17-B17)*86400)</f>
        <v/>
      </c>
      <c r="H17" s="10">
        <f>IF(A17="","",IF(OR(F17&gt;120,G17&gt;300),"REVIEW","WITHIN INTERNAL TARGET"))</f>
        <v/>
      </c>
    </row>
    <row r="18">
      <c r="A18" s="10" t="n"/>
      <c r="B18" s="10" t="n"/>
      <c r="C18" s="10" t="n"/>
      <c r="D18" s="10" t="n"/>
      <c r="E18" s="10" t="n"/>
      <c r="F18" s="10">
        <f>IF(OR(B18="",C18=""),"",(C18-B18)*86400)</f>
        <v/>
      </c>
      <c r="G18" s="10">
        <f>IF(OR(B18="",E18=""),"",(E18-B18)*86400)</f>
        <v/>
      </c>
      <c r="H18" s="10">
        <f>IF(A18="","",IF(OR(F18&gt;120,G18&gt;300),"REVIEW","WITHIN INTERNAL TARGET"))</f>
        <v/>
      </c>
    </row>
    <row r="19">
      <c r="A19" s="10" t="n"/>
      <c r="B19" s="10" t="n"/>
      <c r="C19" s="10" t="n"/>
      <c r="D19" s="10" t="n"/>
      <c r="E19" s="10" t="n"/>
      <c r="F19" s="10">
        <f>IF(OR(B19="",C19=""),"",(C19-B19)*86400)</f>
        <v/>
      </c>
      <c r="G19" s="10">
        <f>IF(OR(B19="",E19=""),"",(E19-B19)*86400)</f>
        <v/>
      </c>
      <c r="H19" s="10">
        <f>IF(A19="","",IF(OR(F19&gt;120,G19&gt;300),"REVIEW","WITHIN INTERNAL TARGET"))</f>
        <v/>
      </c>
    </row>
    <row r="20">
      <c r="A20" s="10" t="n"/>
      <c r="B20" s="10" t="n"/>
      <c r="C20" s="10" t="n"/>
      <c r="D20" s="10" t="n"/>
      <c r="E20" s="10" t="n"/>
      <c r="F20" s="10">
        <f>IF(OR(B20="",C20=""),"",(C20-B20)*86400)</f>
        <v/>
      </c>
      <c r="G20" s="10">
        <f>IF(OR(B20="",E20=""),"",(E20-B20)*86400)</f>
        <v/>
      </c>
      <c r="H20" s="10">
        <f>IF(A20="","",IF(OR(F20&gt;120,G20&gt;300),"REVIEW","WITHIN INTERNAL TARGET"))</f>
        <v/>
      </c>
    </row>
    <row r="21">
      <c r="A21" s="10" t="n"/>
      <c r="B21" s="10" t="n"/>
      <c r="C21" s="10" t="n"/>
      <c r="D21" s="10" t="n"/>
      <c r="E21" s="10" t="n"/>
      <c r="F21" s="10">
        <f>IF(OR(B21="",C21=""),"",(C21-B21)*86400)</f>
        <v/>
      </c>
      <c r="G21" s="10">
        <f>IF(OR(B21="",E21=""),"",(E21-B21)*86400)</f>
        <v/>
      </c>
      <c r="H21" s="10">
        <f>IF(A21="","",IF(OR(F21&gt;120,G21&gt;300),"REVIEW","WITHIN INTERNAL TARGET"))</f>
        <v/>
      </c>
    </row>
    <row r="22">
      <c r="A22" s="10" t="n"/>
      <c r="B22" s="10" t="n"/>
      <c r="C22" s="10" t="n"/>
      <c r="D22" s="10" t="n"/>
      <c r="E22" s="10" t="n"/>
      <c r="F22" s="10">
        <f>IF(OR(B22="",C22=""),"",(C22-B22)*86400)</f>
        <v/>
      </c>
      <c r="G22" s="10">
        <f>IF(OR(B22="",E22=""),"",(E22-B22)*86400)</f>
        <v/>
      </c>
      <c r="H22" s="10">
        <f>IF(A22="","",IF(OR(F22&gt;120,G22&gt;300),"REVIEW","WITHIN INTERNAL TARGET"))</f>
        <v/>
      </c>
    </row>
    <row r="23">
      <c r="A23" s="10" t="n"/>
      <c r="B23" s="10" t="n"/>
      <c r="C23" s="10" t="n"/>
      <c r="D23" s="10" t="n"/>
      <c r="E23" s="10" t="n"/>
      <c r="F23" s="10">
        <f>IF(OR(B23="",C23=""),"",(C23-B23)*86400)</f>
        <v/>
      </c>
      <c r="G23" s="10">
        <f>IF(OR(B23="",E23=""),"",(E23-B23)*86400)</f>
        <v/>
      </c>
      <c r="H23" s="10">
        <f>IF(A23="","",IF(OR(F23&gt;120,G23&gt;300),"REVIEW","WITHIN INTERNAL TARGET"))</f>
        <v/>
      </c>
    </row>
    <row r="24">
      <c r="A24" s="10" t="n"/>
      <c r="B24" s="10" t="n"/>
      <c r="C24" s="10" t="n"/>
      <c r="D24" s="10" t="n"/>
      <c r="E24" s="10" t="n"/>
      <c r="F24" s="10">
        <f>IF(OR(B24="",C24=""),"",(C24-B24)*86400)</f>
        <v/>
      </c>
      <c r="G24" s="10">
        <f>IF(OR(B24="",E24=""),"",(E24-B24)*86400)</f>
        <v/>
      </c>
      <c r="H24" s="10">
        <f>IF(A24="","",IF(OR(F24&gt;120,G24&gt;300),"REVIEW","WITHIN INTERNAL TARGET"))</f>
        <v/>
      </c>
    </row>
    <row r="25">
      <c r="A25" s="10" t="n"/>
      <c r="B25" s="10" t="n"/>
      <c r="C25" s="10" t="n"/>
      <c r="D25" s="10" t="n"/>
      <c r="E25" s="10" t="n"/>
      <c r="F25" s="10">
        <f>IF(OR(B25="",C25=""),"",(C25-B25)*86400)</f>
        <v/>
      </c>
      <c r="G25" s="10">
        <f>IF(OR(B25="",E25=""),"",(E25-B25)*86400)</f>
        <v/>
      </c>
      <c r="H25" s="10">
        <f>IF(A25="","",IF(OR(F25&gt;120,G25&gt;300),"REVIEW","WITHIN INTERNAL TARGET"))</f>
        <v/>
      </c>
    </row>
    <row r="26">
      <c r="A26" s="10" t="n"/>
      <c r="B26" s="10" t="n"/>
      <c r="C26" s="10" t="n"/>
      <c r="D26" s="10" t="n"/>
      <c r="E26" s="10" t="n"/>
      <c r="F26" s="10">
        <f>IF(OR(B26="",C26=""),"",(C26-B26)*86400)</f>
        <v/>
      </c>
      <c r="G26" s="10">
        <f>IF(OR(B26="",E26=""),"",(E26-B26)*86400)</f>
        <v/>
      </c>
      <c r="H26" s="10">
        <f>IF(A26="","",IF(OR(F26&gt;120,G26&gt;300),"REVIEW","WITHIN INTERNAL TARGET"))</f>
        <v/>
      </c>
    </row>
    <row r="27">
      <c r="A27" s="10" t="n"/>
      <c r="B27" s="10" t="n"/>
      <c r="C27" s="10" t="n"/>
      <c r="D27" s="10" t="n"/>
      <c r="E27" s="10" t="n"/>
      <c r="F27" s="10">
        <f>IF(OR(B27="",C27=""),"",(C27-B27)*86400)</f>
        <v/>
      </c>
      <c r="G27" s="10">
        <f>IF(OR(B27="",E27=""),"",(E27-B27)*86400)</f>
        <v/>
      </c>
      <c r="H27" s="10">
        <f>IF(A27="","",IF(OR(F27&gt;120,G27&gt;300),"REVIEW","WITHIN INTERNAL TARGET"))</f>
        <v/>
      </c>
    </row>
    <row r="28">
      <c r="A28" s="10" t="n"/>
      <c r="B28" s="10" t="n"/>
      <c r="C28" s="10" t="n"/>
      <c r="D28" s="10" t="n"/>
      <c r="E28" s="10" t="n"/>
      <c r="F28" s="10">
        <f>IF(OR(B28="",C28=""),"",(C28-B28)*86400)</f>
        <v/>
      </c>
      <c r="G28" s="10">
        <f>IF(OR(B28="",E28=""),"",(E28-B28)*86400)</f>
        <v/>
      </c>
      <c r="H28" s="10">
        <f>IF(A28="","",IF(OR(F28&gt;120,G28&gt;300),"REVIEW","WITHIN INTERNAL TARGET"))</f>
        <v/>
      </c>
    </row>
    <row r="29">
      <c r="A29" s="10" t="n"/>
      <c r="B29" s="10" t="n"/>
      <c r="C29" s="10" t="n"/>
      <c r="D29" s="10" t="n"/>
      <c r="E29" s="10" t="n"/>
      <c r="F29" s="10">
        <f>IF(OR(B29="",C29=""),"",(C29-B29)*86400)</f>
        <v/>
      </c>
      <c r="G29" s="10">
        <f>IF(OR(B29="",E29=""),"",(E29-B29)*86400)</f>
        <v/>
      </c>
      <c r="H29" s="10">
        <f>IF(A29="","",IF(OR(F29&gt;120,G29&gt;300),"REVIEW","WITHIN INTERNAL TARGET"))</f>
        <v/>
      </c>
    </row>
    <row r="30">
      <c r="A30" s="10" t="n"/>
      <c r="B30" s="10" t="n"/>
      <c r="C30" s="10" t="n"/>
      <c r="D30" s="10" t="n"/>
      <c r="E30" s="10" t="n"/>
      <c r="F30" s="10">
        <f>IF(OR(B30="",C30=""),"",(C30-B30)*86400)</f>
        <v/>
      </c>
      <c r="G30" s="10">
        <f>IF(OR(B30="",E30=""),"",(E30-B30)*86400)</f>
        <v/>
      </c>
      <c r="H30" s="10">
        <f>IF(A30="","",IF(OR(F30&gt;120,G30&gt;300),"REVIEW","WITHIN INTERNAL TARGET"))</f>
        <v/>
      </c>
    </row>
    <row r="31">
      <c r="A31" s="10" t="n"/>
      <c r="B31" s="10" t="n"/>
      <c r="C31" s="10" t="n"/>
      <c r="D31" s="10" t="n"/>
      <c r="E31" s="10" t="n"/>
      <c r="F31" s="10">
        <f>IF(OR(B31="",C31=""),"",(C31-B31)*86400)</f>
        <v/>
      </c>
      <c r="G31" s="10">
        <f>IF(OR(B31="",E31=""),"",(E31-B31)*86400)</f>
        <v/>
      </c>
      <c r="H31" s="10">
        <f>IF(A31="","",IF(OR(F31&gt;120,G31&gt;300),"REVIEW","WITHIN INTERNAL TARGET"))</f>
        <v/>
      </c>
    </row>
    <row r="32">
      <c r="A32" s="10" t="n"/>
      <c r="B32" s="10" t="n"/>
      <c r="C32" s="10" t="n"/>
      <c r="D32" s="10" t="n"/>
      <c r="E32" s="10" t="n"/>
      <c r="F32" s="10">
        <f>IF(OR(B32="",C32=""),"",(C32-B32)*86400)</f>
        <v/>
      </c>
      <c r="G32" s="10">
        <f>IF(OR(B32="",E32=""),"",(E32-B32)*86400)</f>
        <v/>
      </c>
      <c r="H32" s="10">
        <f>IF(A32="","",IF(OR(F32&gt;120,G32&gt;300),"REVIEW","WITHIN INTERNAL TARGET"))</f>
        <v/>
      </c>
    </row>
    <row r="33">
      <c r="A33" s="10" t="n"/>
      <c r="B33" s="10" t="n"/>
      <c r="C33" s="10" t="n"/>
      <c r="D33" s="10" t="n"/>
      <c r="E33" s="10" t="n"/>
      <c r="F33" s="10">
        <f>IF(OR(B33="",C33=""),"",(C33-B33)*86400)</f>
        <v/>
      </c>
      <c r="G33" s="10">
        <f>IF(OR(B33="",E33=""),"",(E33-B33)*86400)</f>
        <v/>
      </c>
      <c r="H33" s="10">
        <f>IF(A33="","",IF(OR(F33&gt;120,G33&gt;300),"REVIEW","WITHIN INTERNAL TARGET"))</f>
        <v/>
      </c>
    </row>
    <row r="34">
      <c r="A34" s="10" t="n"/>
      <c r="B34" s="10" t="n"/>
      <c r="C34" s="10" t="n"/>
      <c r="D34" s="10" t="n"/>
      <c r="E34" s="10" t="n"/>
      <c r="F34" s="10">
        <f>IF(OR(B34="",C34=""),"",(C34-B34)*86400)</f>
        <v/>
      </c>
      <c r="G34" s="10">
        <f>IF(OR(B34="",E34=""),"",(E34-B34)*86400)</f>
        <v/>
      </c>
      <c r="H34" s="10">
        <f>IF(A34="","",IF(OR(F34&gt;120,G34&gt;300),"REVIEW","WITHIN INTERNAL TARGET"))</f>
        <v/>
      </c>
    </row>
    <row r="35">
      <c r="A35" s="10" t="n"/>
      <c r="B35" s="10" t="n"/>
      <c r="C35" s="10" t="n"/>
      <c r="D35" s="10" t="n"/>
      <c r="E35" s="10" t="n"/>
      <c r="F35" s="10">
        <f>IF(OR(B35="",C35=""),"",(C35-B35)*86400)</f>
        <v/>
      </c>
      <c r="G35" s="10">
        <f>IF(OR(B35="",E35=""),"",(E35-B35)*86400)</f>
        <v/>
      </c>
      <c r="H35" s="10">
        <f>IF(A35="","",IF(OR(F35&gt;120,G35&gt;300),"REVIEW","WITHIN INTERNAL TARGET"))</f>
        <v/>
      </c>
    </row>
    <row r="36">
      <c r="A36" s="10" t="n"/>
      <c r="B36" s="10" t="n"/>
      <c r="C36" s="10" t="n"/>
      <c r="D36" s="10" t="n"/>
      <c r="E36" s="10" t="n"/>
      <c r="F36" s="10">
        <f>IF(OR(B36="",C36=""),"",(C36-B36)*86400)</f>
        <v/>
      </c>
      <c r="G36" s="10">
        <f>IF(OR(B36="",E36=""),"",(E36-B36)*86400)</f>
        <v/>
      </c>
      <c r="H36" s="10">
        <f>IF(A36="","",IF(OR(F36&gt;120,G36&gt;300),"REVIEW","WITHIN INTERNAL TARGET"))</f>
        <v/>
      </c>
    </row>
    <row r="37">
      <c r="A37" s="10" t="n"/>
      <c r="B37" s="10" t="n"/>
      <c r="C37" s="10" t="n"/>
      <c r="D37" s="10" t="n"/>
      <c r="E37" s="10" t="n"/>
      <c r="F37" s="10">
        <f>IF(OR(B37="",C37=""),"",(C37-B37)*86400)</f>
        <v/>
      </c>
      <c r="G37" s="10">
        <f>IF(OR(B37="",E37=""),"",(E37-B37)*86400)</f>
        <v/>
      </c>
      <c r="H37" s="10">
        <f>IF(A37="","",IF(OR(F37&gt;120,G37&gt;300),"REVIEW","WITHIN INTERNAL TARGET"))</f>
        <v/>
      </c>
    </row>
    <row r="38">
      <c r="A38" s="10" t="n"/>
      <c r="B38" s="10" t="n"/>
      <c r="C38" s="10" t="n"/>
      <c r="D38" s="10" t="n"/>
      <c r="E38" s="10" t="n"/>
      <c r="F38" s="10">
        <f>IF(OR(B38="",C38=""),"",(C38-B38)*86400)</f>
        <v/>
      </c>
      <c r="G38" s="10">
        <f>IF(OR(B38="",E38=""),"",(E38-B38)*86400)</f>
        <v/>
      </c>
      <c r="H38" s="10">
        <f>IF(A38="","",IF(OR(F38&gt;120,G38&gt;300),"REVIEW","WITHIN INTERNAL TARGET"))</f>
        <v/>
      </c>
    </row>
    <row r="39">
      <c r="A39" s="10" t="n"/>
      <c r="B39" s="10" t="n"/>
      <c r="C39" s="10" t="n"/>
      <c r="D39" s="10" t="n"/>
      <c r="E39" s="10" t="n"/>
      <c r="F39" s="10">
        <f>IF(OR(B39="",C39=""),"",(C39-B39)*86400)</f>
        <v/>
      </c>
      <c r="G39" s="10">
        <f>IF(OR(B39="",E39=""),"",(E39-B39)*86400)</f>
        <v/>
      </c>
      <c r="H39" s="10">
        <f>IF(A39="","",IF(OR(F39&gt;120,G39&gt;300),"REVIEW","WITHIN INTERNAL TARGET"))</f>
        <v/>
      </c>
    </row>
    <row r="40">
      <c r="A40" s="10" t="n"/>
      <c r="B40" s="10" t="n"/>
      <c r="C40" s="10" t="n"/>
      <c r="D40" s="10" t="n"/>
      <c r="E40" s="10" t="n"/>
      <c r="F40" s="10">
        <f>IF(OR(B40="",C40=""),"",(C40-B40)*86400)</f>
        <v/>
      </c>
      <c r="G40" s="10">
        <f>IF(OR(B40="",E40=""),"",(E40-B40)*86400)</f>
        <v/>
      </c>
      <c r="H40" s="10">
        <f>IF(A40="","",IF(OR(F40&gt;120,G40&gt;300),"REVIEW","WITHIN INTERNAL TARGET"))</f>
        <v/>
      </c>
    </row>
    <row r="41">
      <c r="A41" s="10" t="n"/>
      <c r="B41" s="10" t="n"/>
      <c r="C41" s="10" t="n"/>
      <c r="D41" s="10" t="n"/>
      <c r="E41" s="10" t="n"/>
      <c r="F41" s="10">
        <f>IF(OR(B41="",C41=""),"",(C41-B41)*86400)</f>
        <v/>
      </c>
      <c r="G41" s="10">
        <f>IF(OR(B41="",E41=""),"",(E41-B41)*86400)</f>
        <v/>
      </c>
      <c r="H41" s="10">
        <f>IF(A41="","",IF(OR(F41&gt;120,G41&gt;300),"REVIEW","WITHIN INTERNAL TARGET"))</f>
        <v/>
      </c>
    </row>
    <row r="42">
      <c r="A42" s="10" t="n"/>
      <c r="B42" s="10" t="n"/>
      <c r="C42" s="10" t="n"/>
      <c r="D42" s="10" t="n"/>
      <c r="E42" s="10" t="n"/>
      <c r="F42" s="10">
        <f>IF(OR(B42="",C42=""),"",(C42-B42)*86400)</f>
        <v/>
      </c>
      <c r="G42" s="10">
        <f>IF(OR(B42="",E42=""),"",(E42-B42)*86400)</f>
        <v/>
      </c>
      <c r="H42" s="10">
        <f>IF(A42="","",IF(OR(F42&gt;120,G42&gt;300),"REVIEW","WITHIN INTERNAL TARGET"))</f>
        <v/>
      </c>
    </row>
    <row r="43">
      <c r="A43" s="10" t="n"/>
      <c r="B43" s="10" t="n"/>
      <c r="C43" s="10" t="n"/>
      <c r="D43" s="10" t="n"/>
      <c r="E43" s="10" t="n"/>
      <c r="F43" s="10">
        <f>IF(OR(B43="",C43=""),"",(C43-B43)*86400)</f>
        <v/>
      </c>
      <c r="G43" s="10">
        <f>IF(OR(B43="",E43=""),"",(E43-B43)*86400)</f>
        <v/>
      </c>
      <c r="H43" s="10">
        <f>IF(A43="","",IF(OR(F43&gt;120,G43&gt;300),"REVIEW","WITHIN INTERNAL TARGET"))</f>
        <v/>
      </c>
    </row>
    <row r="44">
      <c r="A44" s="10" t="n"/>
      <c r="B44" s="10" t="n"/>
      <c r="C44" s="10" t="n"/>
      <c r="D44" s="10" t="n"/>
      <c r="E44" s="10" t="n"/>
      <c r="F44" s="10">
        <f>IF(OR(B44="",C44=""),"",(C44-B44)*86400)</f>
        <v/>
      </c>
      <c r="G44" s="10">
        <f>IF(OR(B44="",E44=""),"",(E44-B44)*86400)</f>
        <v/>
      </c>
      <c r="H44" s="10">
        <f>IF(A44="","",IF(OR(F44&gt;120,G44&gt;300),"REVIEW","WITHIN INTERNAL TARGET"))</f>
        <v/>
      </c>
    </row>
    <row r="45">
      <c r="A45" s="10" t="n"/>
      <c r="B45" s="10" t="n"/>
      <c r="C45" s="10" t="n"/>
      <c r="D45" s="10" t="n"/>
      <c r="E45" s="10" t="n"/>
      <c r="F45" s="10">
        <f>IF(OR(B45="",C45=""),"",(C45-B45)*86400)</f>
        <v/>
      </c>
      <c r="G45" s="10">
        <f>IF(OR(B45="",E45=""),"",(E45-B45)*86400)</f>
        <v/>
      </c>
      <c r="H45" s="10">
        <f>IF(A45="","",IF(OR(F45&gt;120,G45&gt;300),"REVIEW","WITHIN INTERNAL TARGET"))</f>
        <v/>
      </c>
    </row>
    <row r="46">
      <c r="A46" s="10" t="n"/>
      <c r="B46" s="10" t="n"/>
      <c r="C46" s="10" t="n"/>
      <c r="D46" s="10" t="n"/>
      <c r="E46" s="10" t="n"/>
      <c r="F46" s="10">
        <f>IF(OR(B46="",C46=""),"",(C46-B46)*86400)</f>
        <v/>
      </c>
      <c r="G46" s="10">
        <f>IF(OR(B46="",E46=""),"",(E46-B46)*86400)</f>
        <v/>
      </c>
      <c r="H46" s="10">
        <f>IF(A46="","",IF(OR(F46&gt;120,G46&gt;300),"REVIEW","WITHIN INTERNAL TARGET"))</f>
        <v/>
      </c>
    </row>
    <row r="47">
      <c r="A47" s="10" t="n"/>
      <c r="B47" s="10" t="n"/>
      <c r="C47" s="10" t="n"/>
      <c r="D47" s="10" t="n"/>
      <c r="E47" s="10" t="n"/>
      <c r="F47" s="10">
        <f>IF(OR(B47="",C47=""),"",(C47-B47)*86400)</f>
        <v/>
      </c>
      <c r="G47" s="10">
        <f>IF(OR(B47="",E47=""),"",(E47-B47)*86400)</f>
        <v/>
      </c>
      <c r="H47" s="10">
        <f>IF(A47="","",IF(OR(F47&gt;120,G47&gt;300),"REVIEW","WITHIN INTERNAL TARGET"))</f>
        <v/>
      </c>
    </row>
    <row r="48">
      <c r="A48" s="10" t="n"/>
      <c r="B48" s="10" t="n"/>
      <c r="C48" s="10" t="n"/>
      <c r="D48" s="10" t="n"/>
      <c r="E48" s="10" t="n"/>
      <c r="F48" s="10">
        <f>IF(OR(B48="",C48=""),"",(C48-B48)*86400)</f>
        <v/>
      </c>
      <c r="G48" s="10">
        <f>IF(OR(B48="",E48=""),"",(E48-B48)*86400)</f>
        <v/>
      </c>
      <c r="H48" s="10">
        <f>IF(A48="","",IF(OR(F48&gt;120,G48&gt;300),"REVIEW","WITHIN INTERNAL TARGET"))</f>
        <v/>
      </c>
    </row>
    <row r="49">
      <c r="A49" s="10" t="n"/>
      <c r="B49" s="10" t="n"/>
      <c r="C49" s="10" t="n"/>
      <c r="D49" s="10" t="n"/>
      <c r="E49" s="10" t="n"/>
      <c r="F49" s="10">
        <f>IF(OR(B49="",C49=""),"",(C49-B49)*86400)</f>
        <v/>
      </c>
      <c r="G49" s="10">
        <f>IF(OR(B49="",E49=""),"",(E49-B49)*86400)</f>
        <v/>
      </c>
      <c r="H49" s="10">
        <f>IF(A49="","",IF(OR(F49&gt;120,G49&gt;300),"REVIEW","WITHIN INTERNAL TARGET"))</f>
        <v/>
      </c>
    </row>
    <row r="50">
      <c r="A50" s="10" t="n"/>
      <c r="B50" s="10" t="n"/>
      <c r="C50" s="10" t="n"/>
      <c r="D50" s="10" t="n"/>
      <c r="E50" s="10" t="n"/>
      <c r="F50" s="10">
        <f>IF(OR(B50="",C50=""),"",(C50-B50)*86400)</f>
        <v/>
      </c>
      <c r="G50" s="10">
        <f>IF(OR(B50="",E50=""),"",(E50-B50)*86400)</f>
        <v/>
      </c>
      <c r="H50" s="10">
        <f>IF(A50="","",IF(OR(F50&gt;120,G50&gt;300),"REVIEW","WITHIN INTERNAL TARGET"))</f>
        <v/>
      </c>
    </row>
    <row r="51">
      <c r="A51" s="10" t="n"/>
      <c r="B51" s="10" t="n"/>
      <c r="C51" s="10" t="n"/>
      <c r="D51" s="10" t="n"/>
      <c r="E51" s="10" t="n"/>
      <c r="F51" s="10">
        <f>IF(OR(B51="",C51=""),"",(C51-B51)*86400)</f>
        <v/>
      </c>
      <c r="G51" s="10">
        <f>IF(OR(B51="",E51=""),"",(E51-B51)*86400)</f>
        <v/>
      </c>
      <c r="H51" s="10">
        <f>IF(A51="","",IF(OR(F51&gt;120,G51&gt;300),"REVIEW","WITHIN INTERNAL TARGET"))</f>
        <v/>
      </c>
    </row>
    <row r="52">
      <c r="A52" s="10" t="n"/>
      <c r="B52" s="10" t="n"/>
      <c r="C52" s="10" t="n"/>
      <c r="D52" s="10" t="n"/>
      <c r="E52" s="10" t="n"/>
      <c r="F52" s="10">
        <f>IF(OR(B52="",C52=""),"",(C52-B52)*86400)</f>
        <v/>
      </c>
      <c r="G52" s="10">
        <f>IF(OR(B52="",E52=""),"",(E52-B52)*86400)</f>
        <v/>
      </c>
      <c r="H52" s="10">
        <f>IF(A52="","",IF(OR(F52&gt;120,G52&gt;300),"REVIEW","WITHIN INTERNAL TARGET"))</f>
        <v/>
      </c>
    </row>
    <row r="53">
      <c r="A53" s="10" t="n"/>
      <c r="B53" s="10" t="n"/>
      <c r="C53" s="10" t="n"/>
      <c r="D53" s="10" t="n"/>
      <c r="E53" s="10" t="n"/>
      <c r="F53" s="10">
        <f>IF(OR(B53="",C53=""),"",(C53-B53)*86400)</f>
        <v/>
      </c>
      <c r="G53" s="10">
        <f>IF(OR(B53="",E53=""),"",(E53-B53)*86400)</f>
        <v/>
      </c>
      <c r="H53" s="10">
        <f>IF(A53="","",IF(OR(F53&gt;120,G53&gt;300),"REVIEW","WITHIN INTERNAL TARGET"))</f>
        <v/>
      </c>
    </row>
    <row r="54">
      <c r="A54" s="10" t="n"/>
      <c r="B54" s="10" t="n"/>
      <c r="C54" s="10" t="n"/>
      <c r="D54" s="10" t="n"/>
      <c r="E54" s="10" t="n"/>
      <c r="F54" s="10">
        <f>IF(OR(B54="",C54=""),"",(C54-B54)*86400)</f>
        <v/>
      </c>
      <c r="G54" s="10">
        <f>IF(OR(B54="",E54=""),"",(E54-B54)*86400)</f>
        <v/>
      </c>
      <c r="H54" s="10">
        <f>IF(A54="","",IF(OR(F54&gt;120,G54&gt;300),"REVIEW","WITHIN INTERNAL TARGET"))</f>
        <v/>
      </c>
    </row>
    <row r="55">
      <c r="A55" s="10" t="n"/>
      <c r="B55" s="10" t="n"/>
      <c r="C55" s="10" t="n"/>
      <c r="D55" s="10" t="n"/>
      <c r="E55" s="10" t="n"/>
      <c r="F55" s="10">
        <f>IF(OR(B55="",C55=""),"",(C55-B55)*86400)</f>
        <v/>
      </c>
      <c r="G55" s="10">
        <f>IF(OR(B55="",E55=""),"",(E55-B55)*86400)</f>
        <v/>
      </c>
      <c r="H55" s="10">
        <f>IF(A55="","",IF(OR(F55&gt;120,G55&gt;300),"REVIEW","WITHIN INTERNAL TARGET"))</f>
        <v/>
      </c>
    </row>
    <row r="56">
      <c r="A56" s="10" t="n"/>
      <c r="B56" s="10" t="n"/>
      <c r="C56" s="10" t="n"/>
      <c r="D56" s="10" t="n"/>
      <c r="E56" s="10" t="n"/>
      <c r="F56" s="10">
        <f>IF(OR(B56="",C56=""),"",(C56-B56)*86400)</f>
        <v/>
      </c>
      <c r="G56" s="10">
        <f>IF(OR(B56="",E56=""),"",(E56-B56)*86400)</f>
        <v/>
      </c>
      <c r="H56" s="10">
        <f>IF(A56="","",IF(OR(F56&gt;120,G56&gt;300),"REVIEW","WITHIN INTERNAL TARGET"))</f>
        <v/>
      </c>
    </row>
    <row r="57">
      <c r="A57" s="10" t="n"/>
      <c r="B57" s="10" t="n"/>
      <c r="C57" s="10" t="n"/>
      <c r="D57" s="10" t="n"/>
      <c r="E57" s="10" t="n"/>
      <c r="F57" s="10">
        <f>IF(OR(B57="",C57=""),"",(C57-B57)*86400)</f>
        <v/>
      </c>
      <c r="G57" s="10">
        <f>IF(OR(B57="",E57=""),"",(E57-B57)*86400)</f>
        <v/>
      </c>
      <c r="H57" s="10">
        <f>IF(A57="","",IF(OR(F57&gt;120,G57&gt;300),"REVIEW","WITHIN INTERNAL TARGET"))</f>
        <v/>
      </c>
    </row>
    <row r="58">
      <c r="A58" s="10" t="n"/>
      <c r="B58" s="10" t="n"/>
      <c r="C58" s="10" t="n"/>
      <c r="D58" s="10" t="n"/>
      <c r="E58" s="10" t="n"/>
      <c r="F58" s="10">
        <f>IF(OR(B58="",C58=""),"",(C58-B58)*86400)</f>
        <v/>
      </c>
      <c r="G58" s="10">
        <f>IF(OR(B58="",E58=""),"",(E58-B58)*86400)</f>
        <v/>
      </c>
      <c r="H58" s="10">
        <f>IF(A58="","",IF(OR(F58&gt;120,G58&gt;300),"REVIEW","WITHIN INTERNAL TARGET"))</f>
        <v/>
      </c>
    </row>
    <row r="59">
      <c r="A59" s="10" t="n"/>
      <c r="B59" s="10" t="n"/>
      <c r="C59" s="10" t="n"/>
      <c r="D59" s="10" t="n"/>
      <c r="E59" s="10" t="n"/>
      <c r="F59" s="10">
        <f>IF(OR(B59="",C59=""),"",(C59-B59)*86400)</f>
        <v/>
      </c>
      <c r="G59" s="10">
        <f>IF(OR(B59="",E59=""),"",(E59-B59)*86400)</f>
        <v/>
      </c>
      <c r="H59" s="10">
        <f>IF(A59="","",IF(OR(F59&gt;120,G59&gt;300),"REVIEW","WITHIN INTERNAL TARGET"))</f>
        <v/>
      </c>
    </row>
    <row r="60">
      <c r="A60" s="10" t="n"/>
      <c r="B60" s="10" t="n"/>
      <c r="C60" s="10" t="n"/>
      <c r="D60" s="10" t="n"/>
      <c r="E60" s="10" t="n"/>
      <c r="F60" s="10">
        <f>IF(OR(B60="",C60=""),"",(C60-B60)*86400)</f>
        <v/>
      </c>
      <c r="G60" s="10">
        <f>IF(OR(B60="",E60=""),"",(E60-B60)*86400)</f>
        <v/>
      </c>
      <c r="H60" s="10">
        <f>IF(A60="","",IF(OR(F60&gt;120,G60&gt;300),"REVIEW","WITHIN INTERNAL TARGET"))</f>
        <v/>
      </c>
    </row>
    <row r="61">
      <c r="A61" s="10" t="n"/>
      <c r="B61" s="10" t="n"/>
      <c r="C61" s="10" t="n"/>
      <c r="D61" s="10" t="n"/>
      <c r="E61" s="10" t="n"/>
      <c r="F61" s="10">
        <f>IF(OR(B61="",C61=""),"",(C61-B61)*86400)</f>
        <v/>
      </c>
      <c r="G61" s="10">
        <f>IF(OR(B61="",E61=""),"",(E61-B61)*86400)</f>
        <v/>
      </c>
      <c r="H61" s="10">
        <f>IF(A61="","",IF(OR(F61&gt;120,G61&gt;300),"REVIEW","WITHIN INTERNAL TARGET"))</f>
        <v/>
      </c>
    </row>
    <row r="62">
      <c r="A62" s="10" t="n"/>
      <c r="B62" s="10" t="n"/>
      <c r="C62" s="10" t="n"/>
      <c r="D62" s="10" t="n"/>
      <c r="E62" s="10" t="n"/>
      <c r="F62" s="10">
        <f>IF(OR(B62="",C62=""),"",(C62-B62)*86400)</f>
        <v/>
      </c>
      <c r="G62" s="10">
        <f>IF(OR(B62="",E62=""),"",(E62-B62)*86400)</f>
        <v/>
      </c>
      <c r="H62" s="10">
        <f>IF(A62="","",IF(OR(F62&gt;120,G62&gt;300),"REVIEW","WITHIN INTERNAL TARGET"))</f>
        <v/>
      </c>
    </row>
    <row r="63">
      <c r="A63" s="10" t="n"/>
      <c r="B63" s="10" t="n"/>
      <c r="C63" s="10" t="n"/>
      <c r="D63" s="10" t="n"/>
      <c r="E63" s="10" t="n"/>
      <c r="F63" s="10">
        <f>IF(OR(B63="",C63=""),"",(C63-B63)*86400)</f>
        <v/>
      </c>
      <c r="G63" s="10">
        <f>IF(OR(B63="",E63=""),"",(E63-B63)*86400)</f>
        <v/>
      </c>
      <c r="H63" s="10">
        <f>IF(A63="","",IF(OR(F63&gt;120,G63&gt;300),"REVIEW","WITHIN INTERNAL TARGET"))</f>
        <v/>
      </c>
    </row>
    <row r="64">
      <c r="A64" s="10" t="n"/>
      <c r="B64" s="10" t="n"/>
      <c r="C64" s="10" t="n"/>
      <c r="D64" s="10" t="n"/>
      <c r="E64" s="10" t="n"/>
      <c r="F64" s="10">
        <f>IF(OR(B64="",C64=""),"",(C64-B64)*86400)</f>
        <v/>
      </c>
      <c r="G64" s="10">
        <f>IF(OR(B64="",E64=""),"",(E64-B64)*86400)</f>
        <v/>
      </c>
      <c r="H64" s="10">
        <f>IF(A64="","",IF(OR(F64&gt;120,G64&gt;300),"REVIEW","WITHIN INTERNAL TARGET"))</f>
        <v/>
      </c>
    </row>
    <row r="65">
      <c r="A65" s="10" t="n"/>
      <c r="B65" s="10" t="n"/>
      <c r="C65" s="10" t="n"/>
      <c r="D65" s="10" t="n"/>
      <c r="E65" s="10" t="n"/>
      <c r="F65" s="10">
        <f>IF(OR(B65="",C65=""),"",(C65-B65)*86400)</f>
        <v/>
      </c>
      <c r="G65" s="10">
        <f>IF(OR(B65="",E65=""),"",(E65-B65)*86400)</f>
        <v/>
      </c>
      <c r="H65" s="10">
        <f>IF(A65="","",IF(OR(F65&gt;120,G65&gt;300),"REVIEW","WITHIN INTERNAL TARGET"))</f>
        <v/>
      </c>
    </row>
    <row r="66">
      <c r="A66" s="10" t="n"/>
      <c r="B66" s="10" t="n"/>
      <c r="C66" s="10" t="n"/>
      <c r="D66" s="10" t="n"/>
      <c r="E66" s="10" t="n"/>
      <c r="F66" s="10">
        <f>IF(OR(B66="",C66=""),"",(C66-B66)*86400)</f>
        <v/>
      </c>
      <c r="G66" s="10">
        <f>IF(OR(B66="",E66=""),"",(E66-B66)*86400)</f>
        <v/>
      </c>
      <c r="H66" s="10">
        <f>IF(A66="","",IF(OR(F66&gt;120,G66&gt;300),"REVIEW","WITHIN INTERNAL TARGET"))</f>
        <v/>
      </c>
    </row>
    <row r="67">
      <c r="A67" s="10" t="n"/>
      <c r="B67" s="10" t="n"/>
      <c r="C67" s="10" t="n"/>
      <c r="D67" s="10" t="n"/>
      <c r="E67" s="10" t="n"/>
      <c r="F67" s="10">
        <f>IF(OR(B67="",C67=""),"",(C67-B67)*86400)</f>
        <v/>
      </c>
      <c r="G67" s="10">
        <f>IF(OR(B67="",E67=""),"",(E67-B67)*86400)</f>
        <v/>
      </c>
      <c r="H67" s="10">
        <f>IF(A67="","",IF(OR(F67&gt;120,G67&gt;300),"REVIEW","WITHIN INTERNAL TARGET"))</f>
        <v/>
      </c>
    </row>
    <row r="68">
      <c r="A68" s="10" t="n"/>
      <c r="B68" s="10" t="n"/>
      <c r="C68" s="10" t="n"/>
      <c r="D68" s="10" t="n"/>
      <c r="E68" s="10" t="n"/>
      <c r="F68" s="10">
        <f>IF(OR(B68="",C68=""),"",(C68-B68)*86400)</f>
        <v/>
      </c>
      <c r="G68" s="10">
        <f>IF(OR(B68="",E68=""),"",(E68-B68)*86400)</f>
        <v/>
      </c>
      <c r="H68" s="10">
        <f>IF(A68="","",IF(OR(F68&gt;120,G68&gt;300),"REVIEW","WITHIN INTERNAL TARGET"))</f>
        <v/>
      </c>
    </row>
    <row r="69">
      <c r="A69" s="10" t="n"/>
      <c r="B69" s="10" t="n"/>
      <c r="C69" s="10" t="n"/>
      <c r="D69" s="10" t="n"/>
      <c r="E69" s="10" t="n"/>
      <c r="F69" s="10">
        <f>IF(OR(B69="",C69=""),"",(C69-B69)*86400)</f>
        <v/>
      </c>
      <c r="G69" s="10">
        <f>IF(OR(B69="",E69=""),"",(E69-B69)*86400)</f>
        <v/>
      </c>
      <c r="H69" s="10">
        <f>IF(A69="","",IF(OR(F69&gt;120,G69&gt;300),"REVIEW","WITHIN INTERNAL TARGET"))</f>
        <v/>
      </c>
    </row>
    <row r="70">
      <c r="A70" s="10" t="n"/>
      <c r="B70" s="10" t="n"/>
      <c r="C70" s="10" t="n"/>
      <c r="D70" s="10" t="n"/>
      <c r="E70" s="10" t="n"/>
      <c r="F70" s="10">
        <f>IF(OR(B70="",C70=""),"",(C70-B70)*86400)</f>
        <v/>
      </c>
      <c r="G70" s="10">
        <f>IF(OR(B70="",E70=""),"",(E70-B70)*86400)</f>
        <v/>
      </c>
      <c r="H70" s="10">
        <f>IF(A70="","",IF(OR(F70&gt;120,G70&gt;300),"REVIEW","WITHIN INTERNAL TARGET"))</f>
        <v/>
      </c>
    </row>
    <row r="71">
      <c r="A71" s="10" t="n"/>
      <c r="B71" s="10" t="n"/>
      <c r="C71" s="10" t="n"/>
      <c r="D71" s="10" t="n"/>
      <c r="E71" s="10" t="n"/>
      <c r="F71" s="10">
        <f>IF(OR(B71="",C71=""),"",(C71-B71)*86400)</f>
        <v/>
      </c>
      <c r="G71" s="10">
        <f>IF(OR(B71="",E71=""),"",(E71-B71)*86400)</f>
        <v/>
      </c>
      <c r="H71" s="10">
        <f>IF(A71="","",IF(OR(F71&gt;120,G71&gt;300),"REVIEW","WITHIN INTERNAL TARGET"))</f>
        <v/>
      </c>
    </row>
    <row r="72">
      <c r="A72" s="10" t="n"/>
      <c r="B72" s="10" t="n"/>
      <c r="C72" s="10" t="n"/>
      <c r="D72" s="10" t="n"/>
      <c r="E72" s="10" t="n"/>
      <c r="F72" s="10">
        <f>IF(OR(B72="",C72=""),"",(C72-B72)*86400)</f>
        <v/>
      </c>
      <c r="G72" s="10">
        <f>IF(OR(B72="",E72=""),"",(E72-B72)*86400)</f>
        <v/>
      </c>
      <c r="H72" s="10">
        <f>IF(A72="","",IF(OR(F72&gt;120,G72&gt;300),"REVIEW","WITHIN INTERNAL TARGET"))</f>
        <v/>
      </c>
    </row>
    <row r="73">
      <c r="A73" s="10" t="n"/>
      <c r="B73" s="10" t="n"/>
      <c r="C73" s="10" t="n"/>
      <c r="D73" s="10" t="n"/>
      <c r="E73" s="10" t="n"/>
      <c r="F73" s="10">
        <f>IF(OR(B73="",C73=""),"",(C73-B73)*86400)</f>
        <v/>
      </c>
      <c r="G73" s="10">
        <f>IF(OR(B73="",E73=""),"",(E73-B73)*86400)</f>
        <v/>
      </c>
      <c r="H73" s="10">
        <f>IF(A73="","",IF(OR(F73&gt;120,G73&gt;300),"REVIEW","WITHIN INTERNAL TARGET"))</f>
        <v/>
      </c>
    </row>
    <row r="74">
      <c r="A74" s="10" t="n"/>
      <c r="B74" s="10" t="n"/>
      <c r="C74" s="10" t="n"/>
      <c r="D74" s="10" t="n"/>
      <c r="E74" s="10" t="n"/>
      <c r="F74" s="10">
        <f>IF(OR(B74="",C74=""),"",(C74-B74)*86400)</f>
        <v/>
      </c>
      <c r="G74" s="10">
        <f>IF(OR(B74="",E74=""),"",(E74-B74)*86400)</f>
        <v/>
      </c>
      <c r="H74" s="10">
        <f>IF(A74="","",IF(OR(F74&gt;120,G74&gt;300),"REVIEW","WITHIN INTERNAL TARGET"))</f>
        <v/>
      </c>
    </row>
    <row r="75">
      <c r="A75" s="10" t="n"/>
      <c r="B75" s="10" t="n"/>
      <c r="C75" s="10" t="n"/>
      <c r="D75" s="10" t="n"/>
      <c r="E75" s="10" t="n"/>
      <c r="F75" s="10">
        <f>IF(OR(B75="",C75=""),"",(C75-B75)*86400)</f>
        <v/>
      </c>
      <c r="G75" s="10">
        <f>IF(OR(B75="",E75=""),"",(E75-B75)*86400)</f>
        <v/>
      </c>
      <c r="H75" s="10">
        <f>IF(A75="","",IF(OR(F75&gt;120,G75&gt;300),"REVIEW","WITHIN INTERNAL TARGET"))</f>
        <v/>
      </c>
    </row>
    <row r="76">
      <c r="A76" s="10" t="n"/>
      <c r="B76" s="10" t="n"/>
      <c r="C76" s="10" t="n"/>
      <c r="D76" s="10" t="n"/>
      <c r="E76" s="10" t="n"/>
      <c r="F76" s="10">
        <f>IF(OR(B76="",C76=""),"",(C76-B76)*86400)</f>
        <v/>
      </c>
      <c r="G76" s="10">
        <f>IF(OR(B76="",E76=""),"",(E76-B76)*86400)</f>
        <v/>
      </c>
      <c r="H76" s="10">
        <f>IF(A76="","",IF(OR(F76&gt;120,G76&gt;300),"REVIEW","WITHIN INTERNAL TARGET"))</f>
        <v/>
      </c>
    </row>
    <row r="77">
      <c r="A77" s="10" t="n"/>
      <c r="B77" s="10" t="n"/>
      <c r="C77" s="10" t="n"/>
      <c r="D77" s="10" t="n"/>
      <c r="E77" s="10" t="n"/>
      <c r="F77" s="10">
        <f>IF(OR(B77="",C77=""),"",(C77-B77)*86400)</f>
        <v/>
      </c>
      <c r="G77" s="10">
        <f>IF(OR(B77="",E77=""),"",(E77-B77)*86400)</f>
        <v/>
      </c>
      <c r="H77" s="10">
        <f>IF(A77="","",IF(OR(F77&gt;120,G77&gt;300),"REVIEW","WITHIN INTERNAL TARGET"))</f>
        <v/>
      </c>
    </row>
    <row r="78">
      <c r="A78" s="10" t="n"/>
      <c r="B78" s="10" t="n"/>
      <c r="C78" s="10" t="n"/>
      <c r="D78" s="10" t="n"/>
      <c r="E78" s="10" t="n"/>
      <c r="F78" s="10">
        <f>IF(OR(B78="",C78=""),"",(C78-B78)*86400)</f>
        <v/>
      </c>
      <c r="G78" s="10">
        <f>IF(OR(B78="",E78=""),"",(E78-B78)*86400)</f>
        <v/>
      </c>
      <c r="H78" s="10">
        <f>IF(A78="","",IF(OR(F78&gt;120,G78&gt;300),"REVIEW","WITHIN INTERNAL TARGET"))</f>
        <v/>
      </c>
    </row>
    <row r="79">
      <c r="A79" s="10" t="n"/>
      <c r="B79" s="10" t="n"/>
      <c r="C79" s="10" t="n"/>
      <c r="D79" s="10" t="n"/>
      <c r="E79" s="10" t="n"/>
      <c r="F79" s="10">
        <f>IF(OR(B79="",C79=""),"",(C79-B79)*86400)</f>
        <v/>
      </c>
      <c r="G79" s="10">
        <f>IF(OR(B79="",E79=""),"",(E79-B79)*86400)</f>
        <v/>
      </c>
      <c r="H79" s="10">
        <f>IF(A79="","",IF(OR(F79&gt;120,G79&gt;300),"REVIEW","WITHIN INTERNAL TARGET"))</f>
        <v/>
      </c>
    </row>
    <row r="80">
      <c r="A80" s="10" t="n"/>
      <c r="B80" s="10" t="n"/>
      <c r="C80" s="10" t="n"/>
      <c r="D80" s="10" t="n"/>
      <c r="E80" s="10" t="n"/>
      <c r="F80" s="10">
        <f>IF(OR(B80="",C80=""),"",(C80-B80)*86400)</f>
        <v/>
      </c>
      <c r="G80" s="10">
        <f>IF(OR(B80="",E80=""),"",(E80-B80)*86400)</f>
        <v/>
      </c>
      <c r="H80" s="10">
        <f>IF(A80="","",IF(OR(F80&gt;120,G80&gt;300),"REVIEW","WITHIN INTERNAL TARGET"))</f>
        <v/>
      </c>
    </row>
    <row r="81">
      <c r="A81" s="10" t="n"/>
      <c r="B81" s="10" t="n"/>
      <c r="C81" s="10" t="n"/>
      <c r="D81" s="10" t="n"/>
      <c r="E81" s="10" t="n"/>
      <c r="F81" s="10">
        <f>IF(OR(B81="",C81=""),"",(C81-B81)*86400)</f>
        <v/>
      </c>
      <c r="G81" s="10">
        <f>IF(OR(B81="",E81=""),"",(E81-B81)*86400)</f>
        <v/>
      </c>
      <c r="H81" s="10">
        <f>IF(A81="","",IF(OR(F81&gt;120,G81&gt;300),"REVIEW","WITHIN INTERNAL TARGET"))</f>
        <v/>
      </c>
    </row>
    <row r="82">
      <c r="A82" s="10" t="n"/>
      <c r="B82" s="10" t="n"/>
      <c r="C82" s="10" t="n"/>
      <c r="D82" s="10" t="n"/>
      <c r="E82" s="10" t="n"/>
      <c r="F82" s="10">
        <f>IF(OR(B82="",C82=""),"",(C82-B82)*86400)</f>
        <v/>
      </c>
      <c r="G82" s="10">
        <f>IF(OR(B82="",E82=""),"",(E82-B82)*86400)</f>
        <v/>
      </c>
      <c r="H82" s="10">
        <f>IF(A82="","",IF(OR(F82&gt;120,G82&gt;300),"REVIEW","WITHIN INTERNAL TARGET"))</f>
        <v/>
      </c>
    </row>
    <row r="83">
      <c r="A83" s="10" t="n"/>
      <c r="B83" s="10" t="n"/>
      <c r="C83" s="10" t="n"/>
      <c r="D83" s="10" t="n"/>
      <c r="E83" s="10" t="n"/>
      <c r="F83" s="10">
        <f>IF(OR(B83="",C83=""),"",(C83-B83)*86400)</f>
        <v/>
      </c>
      <c r="G83" s="10">
        <f>IF(OR(B83="",E83=""),"",(E83-B83)*86400)</f>
        <v/>
      </c>
      <c r="H83" s="10">
        <f>IF(A83="","",IF(OR(F83&gt;120,G83&gt;300),"REVIEW","WITHIN INTERNAL TARGET"))</f>
        <v/>
      </c>
    </row>
    <row r="84">
      <c r="A84" s="10" t="n"/>
      <c r="B84" s="10" t="n"/>
      <c r="C84" s="10" t="n"/>
      <c r="D84" s="10" t="n"/>
      <c r="E84" s="10" t="n"/>
      <c r="F84" s="10">
        <f>IF(OR(B84="",C84=""),"",(C84-B84)*86400)</f>
        <v/>
      </c>
      <c r="G84" s="10">
        <f>IF(OR(B84="",E84=""),"",(E84-B84)*86400)</f>
        <v/>
      </c>
      <c r="H84" s="10">
        <f>IF(A84="","",IF(OR(F84&gt;120,G84&gt;300),"REVIEW","WITHIN INTERNAL TARGET"))</f>
        <v/>
      </c>
    </row>
    <row r="85">
      <c r="A85" s="10" t="n"/>
      <c r="B85" s="10" t="n"/>
      <c r="C85" s="10" t="n"/>
      <c r="D85" s="10" t="n"/>
      <c r="E85" s="10" t="n"/>
      <c r="F85" s="10">
        <f>IF(OR(B85="",C85=""),"",(C85-B85)*86400)</f>
        <v/>
      </c>
      <c r="G85" s="10">
        <f>IF(OR(B85="",E85=""),"",(E85-B85)*86400)</f>
        <v/>
      </c>
      <c r="H85" s="10">
        <f>IF(A85="","",IF(OR(F85&gt;120,G85&gt;300),"REVIEW","WITHIN INTERNAL TARGET"))</f>
        <v/>
      </c>
    </row>
    <row r="86">
      <c r="A86" s="10" t="n"/>
      <c r="B86" s="10" t="n"/>
      <c r="C86" s="10" t="n"/>
      <c r="D86" s="10" t="n"/>
      <c r="E86" s="10" t="n"/>
      <c r="F86" s="10">
        <f>IF(OR(B86="",C86=""),"",(C86-B86)*86400)</f>
        <v/>
      </c>
      <c r="G86" s="10">
        <f>IF(OR(B86="",E86=""),"",(E86-B86)*86400)</f>
        <v/>
      </c>
      <c r="H86" s="10">
        <f>IF(A86="","",IF(OR(F86&gt;120,G86&gt;300),"REVIEW","WITHIN INTERNAL TARGET"))</f>
        <v/>
      </c>
    </row>
    <row r="87">
      <c r="A87" s="10" t="n"/>
      <c r="B87" s="10" t="n"/>
      <c r="C87" s="10" t="n"/>
      <c r="D87" s="10" t="n"/>
      <c r="E87" s="10" t="n"/>
      <c r="F87" s="10">
        <f>IF(OR(B87="",C87=""),"",(C87-B87)*86400)</f>
        <v/>
      </c>
      <c r="G87" s="10">
        <f>IF(OR(B87="",E87=""),"",(E87-B87)*86400)</f>
        <v/>
      </c>
      <c r="H87" s="10">
        <f>IF(A87="","",IF(OR(F87&gt;120,G87&gt;300),"REVIEW","WITHIN INTERNAL TARGET"))</f>
        <v/>
      </c>
    </row>
    <row r="88">
      <c r="A88" s="10" t="n"/>
      <c r="B88" s="10" t="n"/>
      <c r="C88" s="10" t="n"/>
      <c r="D88" s="10" t="n"/>
      <c r="E88" s="10" t="n"/>
      <c r="F88" s="10">
        <f>IF(OR(B88="",C88=""),"",(C88-B88)*86400)</f>
        <v/>
      </c>
      <c r="G88" s="10">
        <f>IF(OR(B88="",E88=""),"",(E88-B88)*86400)</f>
        <v/>
      </c>
      <c r="H88" s="10">
        <f>IF(A88="","",IF(OR(F88&gt;120,G88&gt;300),"REVIEW","WITHIN INTERNAL TARGET"))</f>
        <v/>
      </c>
    </row>
    <row r="89">
      <c r="A89" s="10" t="n"/>
      <c r="B89" s="10" t="n"/>
      <c r="C89" s="10" t="n"/>
      <c r="D89" s="10" t="n"/>
      <c r="E89" s="10" t="n"/>
      <c r="F89" s="10">
        <f>IF(OR(B89="",C89=""),"",(C89-B89)*86400)</f>
        <v/>
      </c>
      <c r="G89" s="10">
        <f>IF(OR(B89="",E89=""),"",(E89-B89)*86400)</f>
        <v/>
      </c>
      <c r="H89" s="10">
        <f>IF(A89="","",IF(OR(F89&gt;120,G89&gt;300),"REVIEW","WITHIN INTERNAL TARGET"))</f>
        <v/>
      </c>
    </row>
    <row r="90">
      <c r="A90" s="10" t="n"/>
      <c r="B90" s="10" t="n"/>
      <c r="C90" s="10" t="n"/>
      <c r="D90" s="10" t="n"/>
      <c r="E90" s="10" t="n"/>
      <c r="F90" s="10">
        <f>IF(OR(B90="",C90=""),"",(C90-B90)*86400)</f>
        <v/>
      </c>
      <c r="G90" s="10">
        <f>IF(OR(B90="",E90=""),"",(E90-B90)*86400)</f>
        <v/>
      </c>
      <c r="H90" s="10">
        <f>IF(A90="","",IF(OR(F90&gt;120,G90&gt;300),"REVIEW","WITHIN INTERNAL TARGET"))</f>
        <v/>
      </c>
    </row>
    <row r="91">
      <c r="A91" s="10" t="n"/>
      <c r="B91" s="10" t="n"/>
      <c r="C91" s="10" t="n"/>
      <c r="D91" s="10" t="n"/>
      <c r="E91" s="10" t="n"/>
      <c r="F91" s="10">
        <f>IF(OR(B91="",C91=""),"",(C91-B91)*86400)</f>
        <v/>
      </c>
      <c r="G91" s="10">
        <f>IF(OR(B91="",E91=""),"",(E91-B91)*86400)</f>
        <v/>
      </c>
      <c r="H91" s="10">
        <f>IF(A91="","",IF(OR(F91&gt;120,G91&gt;300),"REVIEW","WITHIN INTERNAL TARGET"))</f>
        <v/>
      </c>
    </row>
    <row r="92">
      <c r="A92" s="10" t="n"/>
      <c r="B92" s="10" t="n"/>
      <c r="C92" s="10" t="n"/>
      <c r="D92" s="10" t="n"/>
      <c r="E92" s="10" t="n"/>
      <c r="F92" s="10">
        <f>IF(OR(B92="",C92=""),"",(C92-B92)*86400)</f>
        <v/>
      </c>
      <c r="G92" s="10">
        <f>IF(OR(B92="",E92=""),"",(E92-B92)*86400)</f>
        <v/>
      </c>
      <c r="H92" s="10">
        <f>IF(A92="","",IF(OR(F92&gt;120,G92&gt;300),"REVIEW","WITHIN INTERNAL TARGET"))</f>
        <v/>
      </c>
    </row>
    <row r="93">
      <c r="A93" s="10" t="n"/>
      <c r="B93" s="10" t="n"/>
      <c r="C93" s="10" t="n"/>
      <c r="D93" s="10" t="n"/>
      <c r="E93" s="10" t="n"/>
      <c r="F93" s="10">
        <f>IF(OR(B93="",C93=""),"",(C93-B93)*86400)</f>
        <v/>
      </c>
      <c r="G93" s="10">
        <f>IF(OR(B93="",E93=""),"",(E93-B93)*86400)</f>
        <v/>
      </c>
      <c r="H93" s="10">
        <f>IF(A93="","",IF(OR(F93&gt;120,G93&gt;300),"REVIEW","WITHIN INTERNAL TARGET"))</f>
        <v/>
      </c>
    </row>
    <row r="94">
      <c r="A94" s="10" t="n"/>
      <c r="B94" s="10" t="n"/>
      <c r="C94" s="10" t="n"/>
      <c r="D94" s="10" t="n"/>
      <c r="E94" s="10" t="n"/>
      <c r="F94" s="10">
        <f>IF(OR(B94="",C94=""),"",(C94-B94)*86400)</f>
        <v/>
      </c>
      <c r="G94" s="10">
        <f>IF(OR(B94="",E94=""),"",(E94-B94)*86400)</f>
        <v/>
      </c>
      <c r="H94" s="10">
        <f>IF(A94="","",IF(OR(F94&gt;120,G94&gt;300),"REVIEW","WITHIN INTERNAL TARGET"))</f>
        <v/>
      </c>
    </row>
    <row r="95">
      <c r="A95" s="10" t="n"/>
      <c r="B95" s="10" t="n"/>
      <c r="C95" s="10" t="n"/>
      <c r="D95" s="10" t="n"/>
      <c r="E95" s="10" t="n"/>
      <c r="F95" s="10">
        <f>IF(OR(B95="",C95=""),"",(C95-B95)*86400)</f>
        <v/>
      </c>
      <c r="G95" s="10">
        <f>IF(OR(B95="",E95=""),"",(E95-B95)*86400)</f>
        <v/>
      </c>
      <c r="H95" s="10">
        <f>IF(A95="","",IF(OR(F95&gt;120,G95&gt;300),"REVIEW","WITHIN INTERNAL TARGET"))</f>
        <v/>
      </c>
    </row>
    <row r="96">
      <c r="A96" s="10" t="n"/>
      <c r="B96" s="10" t="n"/>
      <c r="C96" s="10" t="n"/>
      <c r="D96" s="10" t="n"/>
      <c r="E96" s="10" t="n"/>
      <c r="F96" s="10">
        <f>IF(OR(B96="",C96=""),"",(C96-B96)*86400)</f>
        <v/>
      </c>
      <c r="G96" s="10">
        <f>IF(OR(B96="",E96=""),"",(E96-B96)*86400)</f>
        <v/>
      </c>
      <c r="H96" s="10">
        <f>IF(A96="","",IF(OR(F96&gt;120,G96&gt;300),"REVIEW","WITHIN INTERNAL TARGET"))</f>
        <v/>
      </c>
    </row>
    <row r="97">
      <c r="A97" s="10" t="n"/>
      <c r="B97" s="10" t="n"/>
      <c r="C97" s="10" t="n"/>
      <c r="D97" s="10" t="n"/>
      <c r="E97" s="10" t="n"/>
      <c r="F97" s="10">
        <f>IF(OR(B97="",C97=""),"",(C97-B97)*86400)</f>
        <v/>
      </c>
      <c r="G97" s="10">
        <f>IF(OR(B97="",E97=""),"",(E97-B97)*86400)</f>
        <v/>
      </c>
      <c r="H97" s="10">
        <f>IF(A97="","",IF(OR(F97&gt;120,G97&gt;300),"REVIEW","WITHIN INTERNAL TARGET"))</f>
        <v/>
      </c>
    </row>
    <row r="98">
      <c r="A98" s="10" t="n"/>
      <c r="B98" s="10" t="n"/>
      <c r="C98" s="10" t="n"/>
      <c r="D98" s="10" t="n"/>
      <c r="E98" s="10" t="n"/>
      <c r="F98" s="10">
        <f>IF(OR(B98="",C98=""),"",(C98-B98)*86400)</f>
        <v/>
      </c>
      <c r="G98" s="10">
        <f>IF(OR(B98="",E98=""),"",(E98-B98)*86400)</f>
        <v/>
      </c>
      <c r="H98" s="10">
        <f>IF(A98="","",IF(OR(F98&gt;120,G98&gt;300),"REVIEW","WITHIN INTERNAL TARGET"))</f>
        <v/>
      </c>
    </row>
    <row r="99">
      <c r="A99" s="10" t="n"/>
      <c r="B99" s="10" t="n"/>
      <c r="C99" s="10" t="n"/>
      <c r="D99" s="10" t="n"/>
      <c r="E99" s="10" t="n"/>
      <c r="F99" s="10">
        <f>IF(OR(B99="",C99=""),"",(C99-B99)*86400)</f>
        <v/>
      </c>
      <c r="G99" s="10">
        <f>IF(OR(B99="",E99=""),"",(E99-B99)*86400)</f>
        <v/>
      </c>
      <c r="H99" s="10">
        <f>IF(A99="","",IF(OR(F99&gt;120,G99&gt;300),"REVIEW","WITHIN INTERNAL TARGET"))</f>
        <v/>
      </c>
    </row>
    <row r="100">
      <c r="A100" s="10" t="n"/>
      <c r="B100" s="10" t="n"/>
      <c r="C100" s="10" t="n"/>
      <c r="D100" s="10" t="n"/>
      <c r="E100" s="10" t="n"/>
      <c r="F100" s="10">
        <f>IF(OR(B100="",C100=""),"",(C100-B100)*86400)</f>
        <v/>
      </c>
      <c r="G100" s="10">
        <f>IF(OR(B100="",E100=""),"",(E100-B100)*86400)</f>
        <v/>
      </c>
      <c r="H100" s="10">
        <f>IF(A100="","",IF(OR(F100&gt;120,G100&gt;300),"REVIEW","WITHIN INTERNAL TARGET"))</f>
        <v/>
      </c>
    </row>
    <row r="101">
      <c r="A101" s="10" t="n"/>
      <c r="B101" s="10" t="n"/>
      <c r="C101" s="10" t="n"/>
      <c r="D101" s="10" t="n"/>
      <c r="E101" s="10" t="n"/>
      <c r="F101" s="10">
        <f>IF(OR(B101="",C101=""),"",(C101-B101)*86400)</f>
        <v/>
      </c>
      <c r="G101" s="10">
        <f>IF(OR(B101="",E101=""),"",(E101-B101)*86400)</f>
        <v/>
      </c>
      <c r="H101" s="10">
        <f>IF(A101="","",IF(OR(F101&gt;120,G101&gt;300),"REVIEW","WITHIN INTERNAL TARGET"))</f>
        <v/>
      </c>
    </row>
    <row r="102">
      <c r="A102" s="10" t="n"/>
      <c r="B102" s="10" t="n"/>
      <c r="C102" s="10" t="n"/>
      <c r="D102" s="10" t="n"/>
      <c r="E102" s="10" t="n"/>
      <c r="F102" s="10">
        <f>IF(OR(B102="",C102=""),"",(C102-B102)*86400)</f>
        <v/>
      </c>
      <c r="G102" s="10">
        <f>IF(OR(B102="",E102=""),"",(E102-B102)*86400)</f>
        <v/>
      </c>
      <c r="H102" s="10">
        <f>IF(A102="","",IF(OR(F102&gt;120,G102&gt;300),"REVIEW","WITHIN INTERNAL TARGET"))</f>
        <v/>
      </c>
    </row>
    <row r="103">
      <c r="A103" s="10" t="n"/>
      <c r="B103" s="10" t="n"/>
      <c r="C103" s="10" t="n"/>
      <c r="D103" s="10" t="n"/>
      <c r="E103" s="10" t="n"/>
      <c r="F103" s="10">
        <f>IF(OR(B103="",C103=""),"",(C103-B103)*86400)</f>
        <v/>
      </c>
      <c r="G103" s="10">
        <f>IF(OR(B103="",E103=""),"",(E103-B103)*86400)</f>
        <v/>
      </c>
      <c r="H103" s="10">
        <f>IF(A103="","",IF(OR(F103&gt;120,G103&gt;300),"REVIEW","WITHIN INTERNAL TARGET"))</f>
        <v/>
      </c>
    </row>
    <row r="104">
      <c r="A104" s="10" t="n"/>
      <c r="B104" s="10" t="n"/>
      <c r="C104" s="10" t="n"/>
      <c r="D104" s="10" t="n"/>
      <c r="E104" s="10" t="n"/>
      <c r="F104" s="10">
        <f>IF(OR(B104="",C104=""),"",(C104-B104)*86400)</f>
        <v/>
      </c>
      <c r="G104" s="10">
        <f>IF(OR(B104="",E104=""),"",(E104-B104)*86400)</f>
        <v/>
      </c>
      <c r="H104" s="10">
        <f>IF(A104="","",IF(OR(F104&gt;120,G104&gt;300),"REVIEW","WITHIN INTERNAL TARGET"))</f>
        <v/>
      </c>
    </row>
  </sheetData>
  <autoFilter ref="A4:H4"/>
  <mergeCells count="2">
    <mergeCell ref="A2:H2"/>
    <mergeCell ref="A1:H1"/>
  </mergeCells>
  <conditionalFormatting sqref="F5:G104">
    <cfRule type="cellIs" priority="1" operator="greaterThan" dxfId="0">
      <formula>300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6" customWidth="1" min="3" max="3"/>
    <col width="24" customWidth="1" min="4" max="4"/>
    <col width="24" customWidth="1" min="5" max="5"/>
    <col width="16" customWidth="1" min="6" max="6"/>
  </cols>
  <sheetData>
    <row r="1" ht="32" customHeight="1">
      <c r="A1" s="5" t="inlineStr">
        <is>
          <t>Acceptance Evidence Register</t>
        </is>
      </c>
    </row>
    <row r="2" ht="28" customHeight="1">
      <c r="A2" s="6" t="inlineStr">
        <is>
          <t>Reference secure records; never paste reset links, Push endpoints, credentials, BCC values, or customer messages.</t>
        </is>
      </c>
    </row>
    <row r="4" ht="34" customHeight="1">
      <c r="A4" s="7" t="inlineStr">
        <is>
          <t>Control</t>
        </is>
      </c>
      <c r="B4" s="7" t="inlineStr">
        <is>
          <t>Evidence type</t>
        </is>
      </c>
      <c r="C4" s="7" t="inlineStr">
        <is>
          <t>Safe reference</t>
        </is>
      </c>
      <c r="D4" s="7" t="inlineStr">
        <is>
          <t>Verified by</t>
        </is>
      </c>
      <c r="E4" s="7" t="inlineStr">
        <is>
          <t>Verified at</t>
        </is>
      </c>
      <c r="F4" s="7" t="inlineStr">
        <is>
          <t>Status</t>
        </is>
      </c>
    </row>
  </sheetData>
  <autoFilter ref="A4:F4"/>
  <mergeCells count="2">
    <mergeCell ref="A2:F2"/>
    <mergeCell ref="A1:F1"/>
  </mergeCells>
  <dataValidations count="1">
    <dataValidation sqref="F5:F104" showDropDown="0" showInputMessage="0" showErrorMessage="0" allowBlank="0" type="list">
      <formula1>"PENDING,VERIFIED,FAILED,NOT APPLICABLE"</formula1>
    </dataValidation>
  </dataValidation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