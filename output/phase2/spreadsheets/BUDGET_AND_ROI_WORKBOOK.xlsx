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ssumptions" sheetId="2" state="visible" r:id="rId2"/>
    <sheet name="ROI Model" sheetId="3" state="visible" r:id="rId3"/>
  </sheets>
  <definedNames>
    <definedName name="_xlnm._FilterDatabase" localSheetId="1" hidden="1">'Assumptions'!$A$4:$E$12</definedName>
    <definedName name="_xlnm.Print_Titles" localSheetId="1">'Assumptions'!$1:$4</definedName>
    <definedName name="_xlnm._FilterDatabase" localSheetId="2" hidden="1">'ROI Model'!$A$4:$E$4</definedName>
    <definedName name="_xlnm.Print_Titles" localSheetId="2">'ROI Model'!$1:$4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9" fontId="0" fillId="6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Budget and ROI Workbook</t>
        </is>
      </c>
    </row>
    <row r="2" ht="30" customHeight="1">
      <c r="A2" s="2" t="inlineStr">
        <is>
          <t>Free-first planning model. All business outcomes are assumptions until real data is entered.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 ht="32" customHeight="1">
      <c r="A1" s="5" t="inlineStr">
        <is>
          <t>Assumptions</t>
        </is>
      </c>
    </row>
    <row r="2" ht="28" customHeight="1">
      <c r="A2" s="6" t="inlineStr">
        <is>
          <t>Yellow cells are editable assumptions; current paid media spend is zero.</t>
        </is>
      </c>
    </row>
    <row r="4" ht="34" customHeight="1">
      <c r="A4" s="7" t="inlineStr">
        <is>
          <t>Input</t>
        </is>
      </c>
      <c r="B4" s="7" t="inlineStr">
        <is>
          <t>Conservative</t>
        </is>
      </c>
      <c r="C4" s="7" t="inlineStr">
        <is>
          <t>Base</t>
        </is>
      </c>
      <c r="D4" s="7" t="inlineStr">
        <is>
          <t>Upside</t>
        </is>
      </c>
      <c r="E4" s="7" t="inlineStr">
        <is>
          <t>Unit</t>
        </is>
      </c>
    </row>
    <row r="5" ht="34" customHeight="1">
      <c r="A5" s="8" t="inlineStr">
        <is>
          <t>Monthly paid media budget</t>
        </is>
      </c>
      <c r="B5" s="9" t="n">
        <v>0</v>
      </c>
      <c r="C5" s="9" t="n">
        <v>0</v>
      </c>
      <c r="D5" s="9" t="n">
        <v>0</v>
      </c>
      <c r="E5" s="8" t="inlineStr">
        <is>
          <t>USD</t>
        </is>
      </c>
    </row>
    <row r="6" ht="34" customHeight="1">
      <c r="A6" s="10" t="inlineStr">
        <is>
          <t>Monthly organic leads</t>
        </is>
      </c>
      <c r="B6" s="11" t="n">
        <v>5</v>
      </c>
      <c r="C6" s="11" t="n">
        <v>12</v>
      </c>
      <c r="D6" s="11" t="n">
        <v>25</v>
      </c>
      <c r="E6" s="10" t="inlineStr">
        <is>
          <t>leads</t>
        </is>
      </c>
    </row>
    <row r="7" ht="34" customHeight="1">
      <c r="A7" s="8" t="inlineStr">
        <is>
          <t>Qualified rate</t>
        </is>
      </c>
      <c r="B7" s="12" t="n">
        <v>0.25</v>
      </c>
      <c r="C7" s="12" t="n">
        <v>0.35</v>
      </c>
      <c r="D7" s="12" t="n">
        <v>0.45</v>
      </c>
      <c r="E7" s="8" t="inlineStr">
        <is>
          <t>%</t>
        </is>
      </c>
    </row>
    <row r="8" ht="34" customHeight="1">
      <c r="A8" s="10" t="inlineStr">
        <is>
          <t>Appointment rate from qualified</t>
        </is>
      </c>
      <c r="B8" s="12" t="n">
        <v>0.25</v>
      </c>
      <c r="C8" s="12" t="n">
        <v>0.35</v>
      </c>
      <c r="D8" s="12" t="n">
        <v>0.45</v>
      </c>
      <c r="E8" s="10" t="inlineStr">
        <is>
          <t>%</t>
        </is>
      </c>
    </row>
    <row r="9" ht="34" customHeight="1">
      <c r="A9" s="8" t="inlineStr">
        <is>
          <t>Signed-client rate from appointments</t>
        </is>
      </c>
      <c r="B9" s="12" t="n">
        <v>0.2</v>
      </c>
      <c r="C9" s="12" t="n">
        <v>0.3</v>
      </c>
      <c r="D9" s="12" t="n">
        <v>0.4</v>
      </c>
      <c r="E9" s="8" t="inlineStr">
        <is>
          <t>%</t>
        </is>
      </c>
    </row>
    <row r="10" ht="34" customHeight="1">
      <c r="A10" s="10" t="inlineStr">
        <is>
          <t>Closing rate from signed clients</t>
        </is>
      </c>
      <c r="B10" s="12" t="n">
        <v>0.5</v>
      </c>
      <c r="C10" s="12" t="n">
        <v>0.65</v>
      </c>
      <c r="D10" s="12" t="n">
        <v>0.75</v>
      </c>
      <c r="E10" s="10" t="inlineStr">
        <is>
          <t>%</t>
        </is>
      </c>
    </row>
    <row r="11" ht="34" customHeight="1">
      <c r="A11" s="8" t="inlineStr">
        <is>
          <t>Gross revenue per closing</t>
        </is>
      </c>
      <c r="B11" s="9" t="n">
        <v>5000</v>
      </c>
      <c r="C11" s="9" t="n">
        <v>7500</v>
      </c>
      <c r="D11" s="9" t="n">
        <v>10000</v>
      </c>
      <c r="E11" s="8" t="inlineStr">
        <is>
          <t>USD</t>
        </is>
      </c>
    </row>
    <row r="12" ht="34" customHeight="1">
      <c r="A12" s="10" t="inlineStr">
        <is>
          <t>Monthly operating tools</t>
        </is>
      </c>
      <c r="B12" s="9" t="n">
        <v>0</v>
      </c>
      <c r="C12" s="9" t="n">
        <v>0</v>
      </c>
      <c r="D12" s="9" t="n">
        <v>0</v>
      </c>
      <c r="E12" s="10" t="inlineStr">
        <is>
          <t>USD</t>
        </is>
      </c>
    </row>
  </sheetData>
  <autoFilter ref="A4:E12"/>
  <mergeCells count="2">
    <mergeCell ref="A2:E2"/>
    <mergeCell ref="A1:E1"/>
  </mergeCell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 ht="32" customHeight="1">
      <c r="A1" s="5" t="inlineStr">
        <is>
          <t>ROI Model</t>
        </is>
      </c>
    </row>
    <row r="2" ht="28" customHeight="1">
      <c r="A2" s="6" t="inlineStr">
        <is>
          <t>Formula-driven scenarios; tests excluded because assumptions represent genuine pipeline only.</t>
        </is>
      </c>
    </row>
    <row r="4" ht="34" customHeight="1">
      <c r="A4" s="7" t="inlineStr">
        <is>
          <t>Metric</t>
        </is>
      </c>
      <c r="B4" s="7" t="inlineStr">
        <is>
          <t>Conservative</t>
        </is>
      </c>
      <c r="C4" s="7" t="inlineStr">
        <is>
          <t>Base</t>
        </is>
      </c>
      <c r="D4" s="7" t="inlineStr">
        <is>
          <t>Upside</t>
        </is>
      </c>
      <c r="E4" s="7" t="inlineStr">
        <is>
          <t>Formula note</t>
        </is>
      </c>
    </row>
    <row r="5">
      <c r="A5" s="13" t="inlineStr">
        <is>
          <t>Organic leads</t>
        </is>
      </c>
      <c r="B5" s="13">
        <f>'Assumptions'!B6</f>
        <v/>
      </c>
      <c r="C5" s="13">
        <f>'Assumptions'!C6</f>
        <v/>
      </c>
      <c r="D5" s="13">
        <f>'Assumptions'!D6</f>
        <v/>
      </c>
      <c r="E5" s="13" t="inlineStr">
        <is>
          <t>Input</t>
        </is>
      </c>
    </row>
    <row r="6">
      <c r="A6" s="13" t="inlineStr">
        <is>
          <t>Qualified leads</t>
        </is>
      </c>
      <c r="B6" s="13">
        <f>B5*'Assumptions'!B7</f>
        <v/>
      </c>
      <c r="C6" s="13">
        <f>C5*'Assumptions'!C7</f>
        <v/>
      </c>
      <c r="D6" s="13">
        <f>D5*'Assumptions'!D7</f>
        <v/>
      </c>
      <c r="E6" s="13" t="inlineStr">
        <is>
          <t>Leads x qualified rate</t>
        </is>
      </c>
    </row>
    <row r="7">
      <c r="A7" s="13" t="inlineStr">
        <is>
          <t>Appointments</t>
        </is>
      </c>
      <c r="B7" s="13">
        <f>B6*'Assumptions'!B8</f>
        <v/>
      </c>
      <c r="C7" s="13">
        <f>C6*'Assumptions'!C8</f>
        <v/>
      </c>
      <c r="D7" s="13">
        <f>D6*'Assumptions'!D8</f>
        <v/>
      </c>
      <c r="E7" s="13" t="inlineStr">
        <is>
          <t>Qualified x appointment rate</t>
        </is>
      </c>
    </row>
    <row r="8">
      <c r="A8" s="13" t="inlineStr">
        <is>
          <t>Signed clients</t>
        </is>
      </c>
      <c r="B8" s="13">
        <f>B7*'Assumptions'!B9</f>
        <v/>
      </c>
      <c r="C8" s="13">
        <f>C7*'Assumptions'!C9</f>
        <v/>
      </c>
      <c r="D8" s="13">
        <f>D7*'Assumptions'!D9</f>
        <v/>
      </c>
      <c r="E8" s="13" t="inlineStr">
        <is>
          <t>Appointments x signed rate</t>
        </is>
      </c>
    </row>
    <row r="9">
      <c r="A9" s="13" t="inlineStr">
        <is>
          <t>Closings</t>
        </is>
      </c>
      <c r="B9" s="13">
        <f>B8*'Assumptions'!B10</f>
        <v/>
      </c>
      <c r="C9" s="13">
        <f>C8*'Assumptions'!C10</f>
        <v/>
      </c>
      <c r="D9" s="13">
        <f>D8*'Assumptions'!D10</f>
        <v/>
      </c>
      <c r="E9" s="13" t="inlineStr">
        <is>
          <t>Signed x closing rate</t>
        </is>
      </c>
    </row>
    <row r="10">
      <c r="A10" s="13" t="inlineStr">
        <is>
          <t>Gross attributed revenue</t>
        </is>
      </c>
      <c r="B10" s="14">
        <f>B9*'Assumptions'!B11</f>
        <v/>
      </c>
      <c r="C10" s="14">
        <f>C9*'Assumptions'!C11</f>
        <v/>
      </c>
      <c r="D10" s="14">
        <f>D9*'Assumptions'!D11</f>
        <v/>
      </c>
      <c r="E10" s="13" t="inlineStr">
        <is>
          <t>Closings x gross revenue</t>
        </is>
      </c>
    </row>
    <row r="11">
      <c r="A11" s="13" t="inlineStr">
        <is>
          <t>Total modeled cost</t>
        </is>
      </c>
      <c r="B11" s="14">
        <f>'Assumptions'!B5+'Assumptions'!B12</f>
        <v/>
      </c>
      <c r="C11" s="14">
        <f>'Assumptions'!C5+'Assumptions'!C12</f>
        <v/>
      </c>
      <c r="D11" s="14">
        <f>'Assumptions'!D5+'Assumptions'!D12</f>
        <v/>
      </c>
      <c r="E11" s="13" t="inlineStr">
        <is>
          <t>Paid budget + tools</t>
        </is>
      </c>
    </row>
    <row r="12">
      <c r="A12" s="13" t="inlineStr">
        <is>
          <t>Modeled ROI</t>
        </is>
      </c>
      <c r="B12" s="15">
        <f>IF(B11=0,0,(B10-B11)/B11)</f>
        <v/>
      </c>
      <c r="C12" s="15">
        <f>IF(C11=0,0,(C10-C11)/C11)</f>
        <v/>
      </c>
      <c r="D12" s="15">
        <f>IF(D11=0,0,(D10-D11)/D11)</f>
        <v/>
      </c>
      <c r="E12" s="13" t="inlineStr">
        <is>
          <t>(Revenue - cost) / cost; zero when cost is zero</t>
        </is>
      </c>
    </row>
  </sheetData>
  <autoFilter ref="A4:E4"/>
  <mergeCells count="2">
    <mergeCell ref="A2:E2"/>
    <mergeCell ref="A1:E1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