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OI Dashboard" sheetId="1" state="visible" r:id="rId3"/>
    <sheet name="AI Cost Assumptions" sheetId="2" state="visible" r:id="rId4"/>
    <sheet name="Messaging Assumptions" sheetId="3" state="visible" r:id="rId5"/>
    <sheet name="Automation Assumptions" sheetId="4" state="visible" r:id="rId6"/>
    <sheet name="Break-even" sheetId="5" state="visible" r:id="rId7"/>
    <sheet name="Commission Economics" sheetId="6" state="visible" r:id="rId8"/>
    <sheet name="Sources" sheetId="7" state="visible" r:id="rId9"/>
  </sheets>
  <definedNames>
    <definedName function="false" hidden="true" localSheetId="1" name="_xlnm._FilterDatabase" vbProcedure="false">'AI Cost Assumptions'!$A$1:$D$3</definedName>
    <definedName function="false" hidden="true" localSheetId="3" name="_xlnm._FilterDatabase" vbProcedure="false">'Automation Assumptions'!$A$1:$D$3</definedName>
    <definedName function="false" hidden="true" localSheetId="4" name="_xlnm._FilterDatabase" vbProcedure="false">'Break-even'!$A$1:$C$4</definedName>
    <definedName function="false" hidden="true" localSheetId="5" name="_xlnm._FilterDatabase" vbProcedure="false">'Commission Economics'!$A$1:$D$4</definedName>
    <definedName function="false" hidden="true" localSheetId="2" name="_xlnm._FilterDatabase" vbProcedure="false">'Messaging Assumptions'!$A$1:$E$3</definedName>
    <definedName function="false" hidden="true" localSheetId="0" name="_xlnm._FilterDatabase" vbProcedure="false">'ROI Dashboard'!$A$1:$M$5</definedName>
    <definedName function="false" hidden="true" localSheetId="6" name="_xlnm._FilterDatabase" vbProcedure="false">Sources!$A$1:$E$7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<sst xmlns="http://schemas.openxmlformats.org/spreadsheetml/2006/main" count="98" uniqueCount="82">
  <si>
    <t xml:space="preserve">Scenario</t>
  </si>
  <si>
    <t xml:space="preserve">Monthly spend</t>
  </si>
  <si>
    <t xml:space="preserve">Leads</t>
  </si>
  <si>
    <t xml:space="preserve">Qualification rate</t>
  </si>
  <si>
    <t xml:space="preserve">Appointment rate</t>
  </si>
  <si>
    <t xml:space="preserve">Closing rate</t>
  </si>
  <si>
    <t xml:space="preserve">Revenue / closing</t>
  </si>
  <si>
    <t xml:space="preserve">Qualified</t>
  </si>
  <si>
    <t xml:space="preserve">Appointments</t>
  </si>
  <si>
    <t xml:space="preserve">Closings</t>
  </si>
  <si>
    <t xml:space="preserve">Revenue</t>
  </si>
  <si>
    <t xml:space="preserve">Contribution</t>
  </si>
  <si>
    <t xml:space="preserve">ROI</t>
  </si>
  <si>
    <t xml:space="preserve">Current verified</t>
  </si>
  <si>
    <t xml:space="preserve">Conservative assumption</t>
  </si>
  <si>
    <t xml:space="preserve">Expected assumption</t>
  </si>
  <si>
    <t xml:space="preserve">Strong assumption</t>
  </si>
  <si>
    <t xml:space="preserve">Break-even closings (editable expected case)</t>
  </si>
  <si>
    <t xml:space="preserve">Important</t>
  </si>
  <si>
    <t xml:space="preserve">The single $0.006619 AI acceptance result is not used as a monthly average.</t>
  </si>
  <si>
    <t xml:space="preserve">Feature</t>
  </si>
  <si>
    <t xml:space="preserve">Current observed</t>
  </si>
  <si>
    <t xml:space="preserve">Planning input</t>
  </si>
  <si>
    <t xml:space="preserve">Rule</t>
  </si>
  <si>
    <t xml:space="preserve">Copilot acceptance</t>
  </si>
  <si>
    <t xml:space="preserve">One synthetic test; no monthly extrapolation</t>
  </si>
  <si>
    <t xml:space="preserve">Monthly AI budget</t>
  </si>
  <si>
    <t xml:space="preserve">Editable cap only</t>
  </si>
  <si>
    <t xml:space="preserve">Channel</t>
  </si>
  <si>
    <t xml:space="preserve">Current state</t>
  </si>
  <si>
    <t xml:space="preserve">Monthly volume input</t>
  </si>
  <si>
    <t xml:space="preserve">Unit cost input</t>
  </si>
  <si>
    <t xml:space="preserve">Monthly cost</t>
  </si>
  <si>
    <t xml:space="preserve">Consumer email</t>
  </si>
  <si>
    <t xml:space="preserve">Disabled</t>
  </si>
  <si>
    <t xml:space="preserve">Consumer SMS</t>
  </si>
  <si>
    <t xml:space="preserve">State</t>
  </si>
  <si>
    <t xml:space="preserve">Assumed uplift</t>
  </si>
  <si>
    <t xml:space="preserve">Included</t>
  </si>
  <si>
    <t xml:space="preserve">Form 3 acknowledgment</t>
  </si>
  <si>
    <t xml:space="preserve">Approval Required</t>
  </si>
  <si>
    <t xml:space="preserve">No</t>
  </si>
  <si>
    <t xml:space="preserve">Nurture</t>
  </si>
  <si>
    <t xml:space="preserve">Break-even closings</t>
  </si>
  <si>
    <t xml:space="preserve">Input</t>
  </si>
  <si>
    <t xml:space="preserve">Value</t>
  </si>
  <si>
    <t xml:space="preserve">Source</t>
  </si>
  <si>
    <t xml:space="preserve">Editable</t>
  </si>
  <si>
    <t xml:space="preserve">Gross commission revenue</t>
  </si>
  <si>
    <t xml:space="preserve">Owner verification required</t>
  </si>
  <si>
    <t xml:space="preserve">Yes</t>
  </si>
  <si>
    <t xml:space="preserve">Contribution margin</t>
  </si>
  <si>
    <t xml:space="preserve">Assumption</t>
  </si>
  <si>
    <t xml:space="preserve">Net revenue</t>
  </si>
  <si>
    <t xml:space="preserve">Calculated</t>
  </si>
  <si>
    <t xml:space="preserve">Source ID</t>
  </si>
  <si>
    <t xml:space="preserve">Class</t>
  </si>
  <si>
    <t xml:space="preserve">Evidence</t>
  </si>
  <si>
    <t xml:space="preserve">Status</t>
  </si>
  <si>
    <t xml:space="preserve">S01</t>
  </si>
  <si>
    <t xml:space="preserve">Authenticated production</t>
  </si>
  <si>
    <t xml:space="preserve">GitHub main</t>
  </si>
  <si>
    <t xml:space="preserve">58554dffb533852dfbb1887d32cfa68aebb2d2dc</t>
  </si>
  <si>
    <t xml:space="preserve">Verified Live</t>
  </si>
  <si>
    <t xml:space="preserve">S02</t>
  </si>
  <si>
    <t xml:space="preserve">Vercel deployment</t>
  </si>
  <si>
    <t xml:space="preserve">dpl_2vgceZpCb4PSuoYffvwi7QAxYnrX</t>
  </si>
  <si>
    <t xml:space="preserve">S03</t>
  </si>
  <si>
    <t xml:space="preserve">Neon aggregate query</t>
  </si>
  <si>
    <t xml:space="preserve">Redacted production counts</t>
  </si>
  <si>
    <t xml:space="preserve">S04</t>
  </si>
  <si>
    <t xml:space="preserve">WordPress bridge panel</t>
  </si>
  <si>
    <t xml:space="preserve">Bridge 1.1.0; Form 3 allowlisted</t>
  </si>
  <si>
    <t xml:space="preserve">S05</t>
  </si>
  <si>
    <t xml:space="preserve">Accepted QA</t>
  </si>
  <si>
    <t xml:space="preserve">Phase 7 completion audit</t>
  </si>
  <si>
    <t xml:space="preserve">2,647 tests; 14/14 safety</t>
  </si>
  <si>
    <t xml:space="preserve">Verified Test</t>
  </si>
  <si>
    <t xml:space="preserve">S06</t>
  </si>
  <si>
    <t xml:space="preserve">Resend webhooks</t>
  </si>
  <si>
    <t xml:space="preserve">Canonical endpoint enabled; account warning present</t>
  </si>
  <si>
    <t xml:space="preserve">Operational 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</si>
</sst>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6C977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9B5A"/>
      </bottom>
      <diagonal/>
    </border>
    <border diagonalUp="false" diagonalDown="false">
      <left/>
      <right/>
      <top/>
      <bottom style="hair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0808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C97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fgColor rgb="FFD9EAD3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9" type="wholeTable"/>
      <tableStyleElement dxfId="10" type="firstColumnStripe"/>
      <tableStyleElement dxfId="11" type="firstRowStripe"/>
      <tableStyleElement dxfId="12" type="lastColumn"/>
      <tableStyleElement dxfId="13" type="firstColumn"/>
      <tableStyleElement dxfId="14" type="headerRow"/>
      <tableStyleElement dxfId="15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5B3D7"/>
      <rgbColor rgb="FFFF99CC"/>
      <rgbColor rgb="FFCC99FF"/>
      <rgbColor rgb="FFE6C977"/>
      <rgbColor rgb="FF3366FF"/>
      <rgbColor rgb="FF33CCCC"/>
      <rgbColor rgb="FF99CC00"/>
      <rgbColor rgb="FFFFCC00"/>
      <rgbColor rgb="FFFF9900"/>
      <rgbColor rgb="FFFF6600"/>
      <rgbColor rgb="FF4F81BD"/>
      <rgbColor rgb="FFB79B5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ICostAssumptions" displayName="AICostAssumptions" ref="A1:D3" headerRowCount="1" totalsRowCount="0" totalsRowShown="0">
  <autoFilter ref="A1:D3"/>
  <tableColumns count="4">
    <tableColumn id="1" name="Feature"/>
    <tableColumn id="2" name="Current observed"/>
    <tableColumn id="3" name="Planning input"/>
    <tableColumn id="4" name="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tomationAssumptions" displayName="AutomationAssumptions" ref="A1:D3" headerRowCount="1" totalsRowCount="0" totalsRowShown="0">
  <autoFilter ref="A1:D3"/>
  <tableColumns count="4">
    <tableColumn id="1" name="Feature"/>
    <tableColumn id="2" name="State"/>
    <tableColumn id="3" name="Assumed uplift"/>
    <tableColumn id="4" name="Includ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reakEven" displayName="BreakEven" ref="A1:C4" headerRowCount="1" totalsRowCount="0" totalsRowShown="0">
  <autoFilter ref="A1:C4"/>
  <tableColumns count="3">
    <tableColumn id="1" name="Revenue / closing"/>
    <tableColumn id="2" name="Monthly spend"/>
    <tableColumn id="3" name="Break-even closing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missionEconomics" displayName="CommissionEconomics" ref="A1:D4" headerRowCount="1" totalsRowCount="0" totalsRowShown="0">
  <autoFilter ref="A1:D4"/>
  <tableColumns count="4">
    <tableColumn id="1" name="Input"/>
    <tableColumn id="2" name="Value"/>
    <tableColumn id="3" name="Source"/>
    <tableColumn id="4" name="Editab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ssagingAssumptions" displayName="MessagingAssumptions" ref="A1:E3" headerRowCount="1" totalsRowCount="0" totalsRowShown="0">
  <autoFilter ref="A1:E3"/>
  <tableColumns count="5">
    <tableColumn id="1" name="Channel"/>
    <tableColumn id="2" name="Current state"/>
    <tableColumn id="3" name="Monthly volume input"/>
    <tableColumn id="4" name="Unit cost input"/>
    <tableColumn id="5" name="Monthly cos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OIDashboard" displayName="ROIDashboard" ref="A1:M5" headerRowCount="1" totalsRowCount="0" totalsRowShown="0">
  <autoFilter ref="A1:M5"/>
  <tableColumns count="13">
    <tableColumn id="1" name="Scenario"/>
    <tableColumn id="2" name="Monthly spend"/>
    <tableColumn id="3" name="Leads"/>
    <tableColumn id="4" name="Qualification rate"/>
    <tableColumn id="5" name="Appointment rate"/>
    <tableColumn id="6" name="Closing rate"/>
    <tableColumn id="7" name="Revenue / closing"/>
    <tableColumn id="8" name="Qualified"/>
    <tableColumn id="9" name="Appointments"/>
    <tableColumn id="10" name="Closings"/>
    <tableColumn id="11" name="Revenue"/>
    <tableColumn id="12" name="Contribution"/>
    <tableColumn id="13" name="ROI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ources_7" displayName="Sources_7" ref="A1:E7" headerRowCount="1" totalsRowCount="0" totalsRowShown="0">
  <autoFilter ref="A1:E7"/>
  <tableColumns count="5">
    <tableColumn id="1" name="Source ID"/>
    <tableColumn id="2" name="Class"/>
    <tableColumn id="3" name="Source"/>
    <tableColumn id="4" name="Evidenc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6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3" min="13" style="0" width="19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f aca="false">C2*D2</f>
        <v>0</v>
      </c>
      <c r="I2" s="2" t="n">
        <f aca="false">H2*E2</f>
        <v>0</v>
      </c>
      <c r="J2" s="2" t="n">
        <f aca="false">I2*F2</f>
        <v>0</v>
      </c>
      <c r="K2" s="2" t="n">
        <f aca="false">J2*G2</f>
        <v>0</v>
      </c>
      <c r="L2" s="2" t="n">
        <f aca="false">K2-B2</f>
        <v>0</v>
      </c>
      <c r="M2" s="2" t="n">
        <f aca="false">IFERROR(L2/B2,0)</f>
        <v>0</v>
      </c>
    </row>
    <row r="3" customFormat="false" ht="15" hidden="false" customHeight="false" outlineLevel="0" collapsed="false">
      <c r="A3" s="2" t="s">
        <v>14</v>
      </c>
      <c r="B3" s="3" t="n">
        <v>1500</v>
      </c>
      <c r="C3" s="3" t="n">
        <v>12</v>
      </c>
      <c r="D3" s="3" t="n">
        <v>0.35</v>
      </c>
      <c r="E3" s="3" t="n">
        <v>0.25</v>
      </c>
      <c r="F3" s="3" t="n">
        <v>0.08</v>
      </c>
      <c r="G3" s="3" t="n">
        <v>6500</v>
      </c>
      <c r="H3" s="2" t="n">
        <f aca="false">C3*D3</f>
        <v>4.2</v>
      </c>
      <c r="I3" s="2" t="n">
        <f aca="false">H3*E3</f>
        <v>1.05</v>
      </c>
      <c r="J3" s="2" t="n">
        <f aca="false">I3*F3</f>
        <v>0.084</v>
      </c>
      <c r="K3" s="2" t="n">
        <f aca="false">J3*G3</f>
        <v>546</v>
      </c>
      <c r="L3" s="2" t="n">
        <f aca="false">K3-B3</f>
        <v>-954</v>
      </c>
      <c r="M3" s="2" t="n">
        <f aca="false">IFERROR(L3/B3,0)</f>
        <v>-0.636</v>
      </c>
    </row>
    <row r="4" customFormat="false" ht="15" hidden="false" customHeight="false" outlineLevel="0" collapsed="false">
      <c r="A4" s="2" t="s">
        <v>15</v>
      </c>
      <c r="B4" s="3" t="n">
        <v>3000</v>
      </c>
      <c r="C4" s="3" t="n">
        <v>25</v>
      </c>
      <c r="D4" s="3" t="n">
        <v>0.45</v>
      </c>
      <c r="E4" s="3" t="n">
        <v>0.35</v>
      </c>
      <c r="F4" s="3" t="n">
        <v>0.12</v>
      </c>
      <c r="G4" s="3" t="n">
        <v>7500</v>
      </c>
      <c r="H4" s="2" t="n">
        <f aca="false">C4*D4</f>
        <v>11.25</v>
      </c>
      <c r="I4" s="2" t="n">
        <f aca="false">H4*E4</f>
        <v>3.9375</v>
      </c>
      <c r="J4" s="2" t="n">
        <f aca="false">I4*F4</f>
        <v>0.4725</v>
      </c>
      <c r="K4" s="2" t="n">
        <f aca="false">J4*G4</f>
        <v>3543.75</v>
      </c>
      <c r="L4" s="2" t="n">
        <f aca="false">K4-B4</f>
        <v>543.75</v>
      </c>
      <c r="M4" s="2" t="n">
        <f aca="false">IFERROR(L4/B4,0)</f>
        <v>0.18125</v>
      </c>
    </row>
    <row r="5" customFormat="false" ht="15" hidden="false" customHeight="false" outlineLevel="0" collapsed="false">
      <c r="A5" s="2" t="s">
        <v>16</v>
      </c>
      <c r="B5" s="3" t="n">
        <v>4500</v>
      </c>
      <c r="C5" s="3" t="n">
        <v>40</v>
      </c>
      <c r="D5" s="3" t="n">
        <v>0.55</v>
      </c>
      <c r="E5" s="3" t="n">
        <v>0.45</v>
      </c>
      <c r="F5" s="3" t="n">
        <v>0.18</v>
      </c>
      <c r="G5" s="3" t="n">
        <v>8500</v>
      </c>
      <c r="H5" s="2" t="n">
        <f aca="false">C5*D5</f>
        <v>22</v>
      </c>
      <c r="I5" s="2" t="n">
        <f aca="false">H5*E5</f>
        <v>9.9</v>
      </c>
      <c r="J5" s="2" t="n">
        <f aca="false">I5*F5</f>
        <v>1.782</v>
      </c>
      <c r="K5" s="2" t="n">
        <f aca="false">J5*G5</f>
        <v>15147</v>
      </c>
      <c r="L5" s="2" t="n">
        <f aca="false">K5-B5</f>
        <v>10647</v>
      </c>
      <c r="M5" s="2" t="n">
        <f aca="false">IFERROR(L5/B5,0)</f>
        <v>2.366</v>
      </c>
    </row>
    <row r="8" customFormat="false" ht="15" hidden="false" customHeight="false" outlineLevel="0" collapsed="false">
      <c r="A8" s="0" t="s">
        <v>17</v>
      </c>
      <c r="B8" s="0" t="n">
        <f aca="false">IFERROR(B4/G4,0)</f>
        <v>0.4</v>
      </c>
    </row>
    <row r="9" customFormat="false" ht="15" hidden="false" customHeight="false" outlineLevel="0" collapsed="false">
      <c r="A9" s="0" t="s">
        <v>18</v>
      </c>
      <c r="B9" s="0" t="s">
        <v>19</v>
      </c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20</v>
      </c>
      <c r="B1" s="1" t="s">
        <v>21</v>
      </c>
      <c r="C1" s="1" t="s">
        <v>22</v>
      </c>
      <c r="D1" s="1" t="s">
        <v>23</v>
      </c>
    </row>
    <row r="2" customFormat="false" ht="15" hidden="false" customHeight="false" outlineLevel="0" collapsed="false">
      <c r="A2" s="2" t="s">
        <v>24</v>
      </c>
      <c r="B2" s="2" t="n">
        <v>0.006619</v>
      </c>
      <c r="C2" s="2" t="n">
        <v>0</v>
      </c>
      <c r="D2" s="2" t="s">
        <v>25</v>
      </c>
    </row>
    <row r="3" customFormat="false" ht="15" hidden="false" customHeight="false" outlineLevel="0" collapsed="false">
      <c r="A3" s="2" t="s">
        <v>26</v>
      </c>
      <c r="B3" s="2" t="n">
        <v>0</v>
      </c>
      <c r="C3" s="2" t="n">
        <v>25</v>
      </c>
      <c r="D3" s="2" t="s">
        <v>27</v>
      </c>
    </row>
  </sheetData>
  <autoFilter ref="A1:D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7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33</v>
      </c>
      <c r="B2" s="2" t="s">
        <v>34</v>
      </c>
      <c r="C2" s="2" t="n">
        <v>0</v>
      </c>
      <c r="D2" s="2" t="n">
        <v>0</v>
      </c>
      <c r="E2" s="2" t="n">
        <f aca="false">C2*D2</f>
        <v>0</v>
      </c>
    </row>
    <row r="3" customFormat="false" ht="15" hidden="false" customHeight="false" outlineLevel="0" collapsed="false">
      <c r="A3" s="2" t="s">
        <v>35</v>
      </c>
      <c r="B3" s="2" t="s">
        <v>34</v>
      </c>
      <c r="C3" s="2" t="n">
        <v>0</v>
      </c>
      <c r="D3" s="2" t="n">
        <v>0</v>
      </c>
      <c r="E3" s="2" t="n">
        <f aca="false">C3*D3</f>
        <v>0</v>
      </c>
    </row>
  </sheetData>
  <autoFilter ref="A1:E3"/>
  <conditionalFormatting sqref="B2:B500">
    <cfRule type="expression" priority="2" aboveAverage="0" equalAverage="0" bottom="0" percent="0" rank="0" text="" dxfId="6">
      <formula>OR(B2="Disabled",B2="Operational Risk")</formula>
    </cfRule>
    <cfRule type="expression" priority="3" aboveAverage="0" equalAverage="0" bottom="0" percent="0" rank="0" text="" dxfId="7">
      <formula>OR(B2="Verified Live",B2="Verified Test")</formula>
    </cfRule>
  </conditionalFormatting>
  <dataValidations count="1">
    <dataValidation allowBlank="true" errorStyle="stop" operator="between" showDropDown="false" showErrorMessage="false" showInputMessage="false" sqref="B2:B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9"/>
    <col collapsed="false" customWidth="true" hidden="false" outlineLevel="0" max="3" min="3" style="0" width="16"/>
    <col collapsed="false" customWidth="true" hidden="false" outlineLevel="0" max="4" min="4" style="0" width="11"/>
  </cols>
  <sheetData>
    <row r="1" customFormat="false" ht="27.75" hidden="false" customHeight="true" outlineLevel="0" collapsed="false">
      <c r="A1" s="1" t="s">
        <v>20</v>
      </c>
      <c r="B1" s="1" t="s">
        <v>36</v>
      </c>
      <c r="C1" s="1" t="s">
        <v>37</v>
      </c>
      <c r="D1" s="1" t="s">
        <v>38</v>
      </c>
    </row>
    <row r="2" customFormat="false" ht="15" hidden="false" customHeight="false" outlineLevel="0" collapsed="false">
      <c r="A2" s="2" t="s">
        <v>39</v>
      </c>
      <c r="B2" s="2" t="s">
        <v>40</v>
      </c>
      <c r="C2" s="2" t="n">
        <v>0</v>
      </c>
      <c r="D2" s="2" t="s">
        <v>41</v>
      </c>
    </row>
    <row r="3" customFormat="false" ht="15" hidden="false" customHeight="false" outlineLevel="0" collapsed="false">
      <c r="A3" s="2" t="s">
        <v>42</v>
      </c>
      <c r="B3" s="2" t="s">
        <v>34</v>
      </c>
      <c r="C3" s="2" t="n">
        <v>0</v>
      </c>
      <c r="D3" s="2" t="s">
        <v>41</v>
      </c>
    </row>
  </sheetData>
  <autoFilter ref="A1:D3"/>
  <conditionalFormatting sqref="B2:B500">
    <cfRule type="expression" priority="2" aboveAverage="0" equalAverage="0" bottom="0" percent="0" rank="0" text="" dxfId="6">
      <formula>OR(B2="Disabled",B2="Operational Risk")</formula>
    </cfRule>
    <cfRule type="expression" priority="3" aboveAverage="0" equalAverage="0" bottom="0" percent="0" rank="0" text="" dxfId="7">
      <formula>OR(B2="Verified Live",B2="Verified Test")</formula>
    </cfRule>
  </conditionalFormatting>
  <dataValidations count="1">
    <dataValidation allowBlank="true" errorStyle="stop" operator="between" showDropDown="false" showErrorMessage="false" showInputMessage="false" sqref="B2:B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5"/>
    <col collapsed="false" customWidth="true" hidden="false" outlineLevel="0" max="3" min="3" style="0" width="21"/>
  </cols>
  <sheetData>
    <row r="1" customFormat="false" ht="27.75" hidden="false" customHeight="true" outlineLevel="0" collapsed="false">
      <c r="A1" s="1" t="s">
        <v>6</v>
      </c>
      <c r="B1" s="1" t="s">
        <v>1</v>
      </c>
      <c r="C1" s="1" t="s">
        <v>43</v>
      </c>
    </row>
    <row r="2" customFormat="false" ht="15" hidden="false" customHeight="false" outlineLevel="0" collapsed="false">
      <c r="A2" s="2" t="n">
        <v>6500</v>
      </c>
      <c r="B2" s="2" t="n">
        <v>1500</v>
      </c>
      <c r="C2" s="2" t="n">
        <f aca="false">B2/A2</f>
        <v>0.230769230769231</v>
      </c>
    </row>
    <row r="3" customFormat="false" ht="15" hidden="false" customHeight="false" outlineLevel="0" collapsed="false">
      <c r="A3" s="2" t="n">
        <v>7500</v>
      </c>
      <c r="B3" s="2" t="n">
        <v>3000</v>
      </c>
      <c r="C3" s="2" t="n">
        <f aca="false">B3/A3</f>
        <v>0.4</v>
      </c>
    </row>
    <row r="4" customFormat="false" ht="15" hidden="false" customHeight="false" outlineLevel="0" collapsed="false">
      <c r="A4" s="2" t="n">
        <v>8500</v>
      </c>
      <c r="B4" s="2" t="n">
        <v>4500</v>
      </c>
      <c r="C4" s="2" t="n">
        <f aca="false">B4/A4</f>
        <v>0.529411764705882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29"/>
    <col collapsed="false" customWidth="true" hidden="false" outlineLevel="0" max="4" min="4" style="0" width="11"/>
  </cols>
  <sheetData>
    <row r="1" customFormat="false" ht="27.75" hidden="false" customHeight="true" outlineLevel="0" collapsed="false">
      <c r="A1" s="1" t="s">
        <v>44</v>
      </c>
      <c r="B1" s="1" t="s">
        <v>45</v>
      </c>
      <c r="C1" s="1" t="s">
        <v>46</v>
      </c>
      <c r="D1" s="1" t="s">
        <v>47</v>
      </c>
    </row>
    <row r="2" customFormat="false" ht="15" hidden="false" customHeight="false" outlineLevel="0" collapsed="false">
      <c r="A2" s="2" t="s">
        <v>48</v>
      </c>
      <c r="B2" s="2" t="n">
        <v>7500</v>
      </c>
      <c r="C2" s="2" t="s">
        <v>49</v>
      </c>
      <c r="D2" s="2" t="s">
        <v>50</v>
      </c>
    </row>
    <row r="3" customFormat="false" ht="15" hidden="false" customHeight="false" outlineLevel="0" collapsed="false">
      <c r="A3" s="2" t="s">
        <v>51</v>
      </c>
      <c r="B3" s="2" t="n">
        <v>1</v>
      </c>
      <c r="C3" s="2" t="s">
        <v>52</v>
      </c>
      <c r="D3" s="2" t="s">
        <v>50</v>
      </c>
    </row>
    <row r="4" customFormat="false" ht="15" hidden="false" customHeight="false" outlineLevel="0" collapsed="false">
      <c r="A4" s="2" t="s">
        <v>53</v>
      </c>
      <c r="B4" s="2" t="n">
        <f aca="false">B2*B3</f>
        <v>7500</v>
      </c>
      <c r="C4" s="2" t="s">
        <v>54</v>
      </c>
      <c r="D4" s="2" t="s">
        <v>41</v>
      </c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55</v>
      </c>
      <c r="B1" s="1" t="s">
        <v>56</v>
      </c>
      <c r="C1" s="1" t="s">
        <v>46</v>
      </c>
      <c r="D1" s="1" t="s">
        <v>57</v>
      </c>
      <c r="E1" s="1" t="s">
        <v>58</v>
      </c>
    </row>
    <row r="2" customFormat="false" ht="15" hidden="false" customHeight="false" outlineLevel="0" collapsed="false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</row>
    <row r="3" customFormat="false" ht="15" hidden="false" customHeight="false" outlineLevel="0" collapsed="false">
      <c r="A3" s="2" t="s">
        <v>64</v>
      </c>
      <c r="B3" s="2" t="s">
        <v>60</v>
      </c>
      <c r="C3" s="2" t="s">
        <v>65</v>
      </c>
      <c r="D3" s="2" t="s">
        <v>66</v>
      </c>
      <c r="E3" s="2" t="s">
        <v>63</v>
      </c>
    </row>
    <row r="4" customFormat="false" ht="15" hidden="false" customHeight="false" outlineLevel="0" collapsed="false">
      <c r="A4" s="2" t="s">
        <v>67</v>
      </c>
      <c r="B4" s="2" t="s">
        <v>60</v>
      </c>
      <c r="C4" s="2" t="s">
        <v>68</v>
      </c>
      <c r="D4" s="2" t="s">
        <v>69</v>
      </c>
      <c r="E4" s="2" t="s">
        <v>63</v>
      </c>
    </row>
    <row r="5" customFormat="false" ht="15" hidden="false" customHeight="false" outlineLevel="0" collapsed="false">
      <c r="A5" s="2" t="s">
        <v>70</v>
      </c>
      <c r="B5" s="2" t="s">
        <v>60</v>
      </c>
      <c r="C5" s="2" t="s">
        <v>71</v>
      </c>
      <c r="D5" s="2" t="s">
        <v>72</v>
      </c>
      <c r="E5" s="2" t="s">
        <v>63</v>
      </c>
    </row>
    <row r="6" customFormat="false" ht="15" hidden="false" customHeight="false" outlineLevel="0" collapsed="false">
      <c r="A6" s="2" t="s">
        <v>73</v>
      </c>
      <c r="B6" s="2" t="s">
        <v>74</v>
      </c>
      <c r="C6" s="2" t="s">
        <v>75</v>
      </c>
      <c r="D6" s="2" t="s">
        <v>76</v>
      </c>
      <c r="E6" s="2" t="s">
        <v>77</v>
      </c>
    </row>
    <row r="7" customFormat="false" ht="23.85" hidden="false" customHeight="false" outlineLevel="0" collapsed="false">
      <c r="A7" s="2" t="s">
        <v>78</v>
      </c>
      <c r="B7" s="2" t="s">
        <v>60</v>
      </c>
      <c r="C7" s="2" t="s">
        <v>79</v>
      </c>
      <c r="D7" s="2" t="s">
        <v>80</v>
      </c>
      <c r="E7" s="2" t="s">
        <v>81</v>
      </c>
    </row>
  </sheetData>
  <autoFilter ref="A1:E7"/>
  <conditionalFormatting sqref="E2:E500">
    <cfRule type="expression" priority="2" aboveAverage="0" equalAverage="0" bottom="0" percent="0" rank="0" text="" dxfId="6">
      <formula>OR(E2="Disabled",E2="Operational Risk")</formula>
    </cfRule>
    <cfRule type="expression" priority="3" aboveAverage="0" equalAverage="0" bottom="0" percent="0" rank="0" text="" dxfId="7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2026-08-18T22:50:13Z</dcterms:created>
  <dc:creator>Our Town Properties / Ask Magic Mike</dc:creator>
  <dc:description/>
  <dc:language>en-US</dc:language>
  <cp:lastModifiedBy/>
  <dcterms:modified xsi:type="dcterms:W3CDTF">2026-08-18T22:50:13Z</dcterms:modified>
  <cp:revision>0</cp:revision>
  <dc:subject/>
  <dc:title>ASK MAGIC MIKE BUDGET ROI MODEL CURRENT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