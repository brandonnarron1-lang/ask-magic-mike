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liverability" sheetId="2" state="visible" r:id="rId4"/>
    <sheet name="Definitions" sheetId="3" state="visible" r:id="rId5"/>
    <sheet name="Sources" sheetId="4" state="visible" r:id="rId6"/>
  </sheets>
  <definedNames>
    <definedName function="false" hidden="true" localSheetId="2" name="_xlnm._FilterDatabase" vbProcedure="false">Definitions!$A$1:$C$7</definedName>
    <definedName function="false" hidden="true" localSheetId="1" name="_xlnm._FilterDatabase" vbProcedure="false">Deliverability!$A$1:$O$4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<sst xmlns="http://schemas.openxmlformats.org/spreadsheetml/2006/main" count="85" uniqueCount="69">
  <si>
    <t xml:space="preserve">MESSAGE DELIVERABILITY DASHBOARD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</si>
  <si>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</si>
  <si>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</si>
  <si>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</si>
  <si>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</si>
  <si>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Class</t>
  </si>
  <si>
    <t xml:space="preserve">Accepted</t>
  </si>
  <si>
    <t xml:space="preserve">Sent</t>
  </si>
  <si>
    <t xml:space="preserve">Delivered</t>
  </si>
  <si>
    <t xml:space="preserve">Delayed</t>
  </si>
  <si>
    <t xml:space="preserve">Bounced</t>
  </si>
  <si>
    <t xml:space="preserve">Complained</t>
  </si>
  <si>
    <t xml:space="preserve">Failed</t>
  </si>
  <si>
    <t xml:space="preserve">Replied</t>
  </si>
  <si>
    <t xml:space="preserve">Opted out</t>
  </si>
  <si>
    <t xml:space="preserve">Test</t>
  </si>
  <si>
    <t xml:space="preserve">Live</t>
  </si>
  <si>
    <t xml:space="preserve">Provider latency ms</t>
  </si>
  <si>
    <t xml:space="preserve">Failure rate</t>
  </si>
  <si>
    <t xml:space="preserve">Status</t>
  </si>
  <si>
    <t xml:space="preserve">Brandon QA</t>
  </si>
  <si>
    <t xml:space="preserve">not retained in redacted source</t>
  </si>
  <si>
    <t xml:space="preserve">Verified Test</t>
  </si>
  <si>
    <t xml:space="preserve">Suppressed QA legacy</t>
  </si>
  <si>
    <t xml:space="preserve">n/a</t>
  </si>
  <si>
    <t xml:space="preserve">Verified Live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</si>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</sst>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F4CCC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liverabilityData" displayName="DeliverabilityData" ref="A1:O4" headerRowCount="1" totalsRowCount="0" totalsRowShown="0">
  <autoFilter ref="A1:O4"/>
  <tableColumns count="15">
    <tableColumn id="1" name="Class"/>
    <tableColumn id="2" name="Accepted"/>
    <tableColumn id="3" name="Sent"/>
    <tableColumn id="4" name="Delivered"/>
    <tableColumn id="5" name="Delayed"/>
    <tableColumn id="6" name="Bounced"/>
    <tableColumn id="7" name="Complained"/>
    <tableColumn id="8" name="Failed"/>
    <tableColumn id="9" name="Replied"/>
    <tableColumn id="10" name="Opted out"/>
    <tableColumn id="11" name="Test"/>
    <tableColumn id="12" name="Live"/>
    <tableColumn id="13" name="Provider latency ms"/>
    <tableColumn id="14" name="Failure rate"/>
    <tableColumn id="15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COUNTA(Deliverability!A2:A500)</f>
        <v>3</v>
      </c>
    </row>
    <row r="3" customFormat="false" ht="15" hidden="false" customHeight="false" outlineLevel="0" collapsed="false">
      <c r="A3" s="2" t="s">
        <v>3</v>
      </c>
      <c r="B3" s="2" t="n">
        <f aca="false">COUNTIF(Deliverability!A2:O500,"Verified Live")</f>
        <v>1</v>
      </c>
    </row>
    <row r="4" customFormat="false" ht="15" hidden="false" customHeight="false" outlineLevel="0" collapsed="false">
      <c r="A4" s="2" t="s">
        <v>4</v>
      </c>
      <c r="B4" s="2" t="n">
        <f aca="false">COUNTIF(Deliverability!A2:O500,"Disabled")+COUNTIF(Deliverability!A2:O500,"Held")</f>
        <v>0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12" min="8" style="0" width="11"/>
    <col collapsed="false" customWidth="true" hidden="false" outlineLevel="0" max="13" min="13" style="0" width="33"/>
    <col collapsed="false" customWidth="true" hidden="false" outlineLevel="0" max="14" min="14" style="0" width="19"/>
    <col collapsed="false" customWidth="true" hidden="false" outlineLevel="0" max="15" min="15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customFormat="false" ht="15" hidden="false" customHeight="false" outlineLevel="0" collapsed="false">
      <c r="A2" s="2" t="s">
        <v>20</v>
      </c>
      <c r="B2" s="2" t="n">
        <v>1</v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0</v>
      </c>
      <c r="M2" s="2" t="s">
        <v>21</v>
      </c>
      <c r="N2" s="2" t="n">
        <f aca="false">IFERROR(H2/B2,0)</f>
        <v>0</v>
      </c>
      <c r="O2" s="2" t="s">
        <v>22</v>
      </c>
    </row>
    <row r="3" customFormat="false" ht="15" hidden="false" customHeight="false" outlineLevel="0" collapsed="false">
      <c r="A3" s="2" t="s">
        <v>23</v>
      </c>
      <c r="B3" s="2" t="n">
        <v>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2</v>
      </c>
      <c r="I3" s="2" t="n">
        <v>0</v>
      </c>
      <c r="J3" s="2" t="n">
        <v>0</v>
      </c>
      <c r="K3" s="2" t="n">
        <v>2</v>
      </c>
      <c r="L3" s="2" t="n">
        <v>0</v>
      </c>
      <c r="M3" s="2" t="s">
        <v>24</v>
      </c>
      <c r="N3" s="2" t="n">
        <f aca="false">IFERROR(H3/B3,0)</f>
        <v>1</v>
      </c>
      <c r="O3" s="2" t="s">
        <v>22</v>
      </c>
    </row>
    <row r="4" customFormat="false" ht="15" hidden="false" customHeight="false" outlineLevel="0" collapsed="false">
      <c r="A4" s="2" t="s">
        <v>16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s">
        <v>24</v>
      </c>
      <c r="N4" s="2" t="n">
        <f aca="false">IFERROR(H4/B4,0)</f>
        <v>0</v>
      </c>
      <c r="O4" s="2" t="s">
        <v>25</v>
      </c>
    </row>
  </sheetData>
  <autoFilter ref="A1:O4"/>
  <conditionalFormatting sqref="O2:O500">
    <cfRule type="expression" priority="2" aboveAverage="0" equalAverage="0" bottom="0" percent="0" rank="0" text="" dxfId="5">
      <formula>OR(O2="Disabled",O2="Operational Risk")</formula>
    </cfRule>
    <cfRule type="expression" priority="3" aboveAverage="0" equalAverage="0" bottom="0" percent="0" rank="0" text="" dxfId="6">
      <formula>OR(O2="Verified Live",O2="Verified Test")</formula>
    </cfRule>
  </conditionalFormatting>
  <dataValidations count="1">
    <dataValidation allowBlank="true" errorStyle="stop" operator="between" showDropDown="false" showErrorMessage="false" showInputMessage="false" sqref="O2:O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</row>
    <row r="3" customFormat="false" ht="23.85" hidden="false" customHeight="false" outlineLevel="0" collapsed="false">
      <c r="A3" s="2" t="s">
        <v>32</v>
      </c>
      <c r="B3" s="2" t="s">
        <v>33</v>
      </c>
      <c r="C3" s="2" t="s">
        <v>34</v>
      </c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37</v>
      </c>
    </row>
    <row r="5" customFormat="false" ht="15" hidden="false" customHeight="false" outlineLevel="0" collapsed="false">
      <c r="A5" s="2" t="s">
        <v>25</v>
      </c>
      <c r="B5" s="2" t="s">
        <v>38</v>
      </c>
      <c r="C5" s="2" t="s">
        <v>39</v>
      </c>
    </row>
    <row r="6" customFormat="false" ht="23.85" hidden="false" customHeight="false" outlineLevel="0" collapsed="false">
      <c r="A6" s="2" t="s">
        <v>22</v>
      </c>
      <c r="B6" s="2" t="s">
        <v>40</v>
      </c>
      <c r="C6" s="2" t="s">
        <v>41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44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45</v>
      </c>
      <c r="B1" s="1" t="s">
        <v>5</v>
      </c>
      <c r="C1" s="1" t="s">
        <v>46</v>
      </c>
      <c r="D1" s="1" t="s">
        <v>47</v>
      </c>
      <c r="E1" s="1" t="s">
        <v>19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  <c r="D2" s="2" t="s">
        <v>51</v>
      </c>
      <c r="E2" s="2" t="s">
        <v>25</v>
      </c>
    </row>
    <row r="3" customFormat="false" ht="15" hidden="false" customHeight="false" outlineLevel="0" collapsed="false">
      <c r="A3" s="2" t="s">
        <v>52</v>
      </c>
      <c r="B3" s="2" t="s">
        <v>49</v>
      </c>
      <c r="C3" s="2" t="s">
        <v>53</v>
      </c>
      <c r="D3" s="2" t="s">
        <v>54</v>
      </c>
      <c r="E3" s="2" t="s">
        <v>25</v>
      </c>
    </row>
    <row r="4" customFormat="false" ht="15" hidden="false" customHeight="false" outlineLevel="0" collapsed="false">
      <c r="A4" s="2" t="s">
        <v>55</v>
      </c>
      <c r="B4" s="2" t="s">
        <v>49</v>
      </c>
      <c r="C4" s="2" t="s">
        <v>56</v>
      </c>
      <c r="D4" s="2" t="s">
        <v>57</v>
      </c>
      <c r="E4" s="2" t="s">
        <v>25</v>
      </c>
    </row>
    <row r="5" customFormat="false" ht="15" hidden="false" customHeight="false" outlineLevel="0" collapsed="false">
      <c r="A5" s="2" t="s">
        <v>58</v>
      </c>
      <c r="B5" s="2" t="s">
        <v>49</v>
      </c>
      <c r="C5" s="2" t="s">
        <v>59</v>
      </c>
      <c r="D5" s="2" t="s">
        <v>60</v>
      </c>
      <c r="E5" s="2" t="s">
        <v>25</v>
      </c>
    </row>
    <row r="6" customFormat="false" ht="15" hidden="false" customHeight="false" outlineLevel="0" collapsed="false">
      <c r="A6" s="2" t="s">
        <v>61</v>
      </c>
      <c r="B6" s="2" t="s">
        <v>62</v>
      </c>
      <c r="C6" s="2" t="s">
        <v>63</v>
      </c>
      <c r="D6" s="2" t="s">
        <v>64</v>
      </c>
      <c r="E6" s="2" t="s">
        <v>22</v>
      </c>
    </row>
    <row r="7" customFormat="false" ht="23.85" hidden="false" customHeight="false" outlineLevel="0" collapsed="false">
      <c r="A7" s="2" t="s">
        <v>65</v>
      </c>
      <c r="B7" s="2" t="s">
        <v>49</v>
      </c>
      <c r="C7" s="2" t="s">
        <v>66</v>
      </c>
      <c r="D7" s="2" t="s">
        <v>67</v>
      </c>
      <c r="E7" s="2" t="s">
        <v>68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MESSAGE DELIVERABILITY DASHBOARD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