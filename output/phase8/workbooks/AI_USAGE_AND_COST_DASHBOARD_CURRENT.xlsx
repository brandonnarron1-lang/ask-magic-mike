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I Usage" sheetId="2" state="visible" r:id="rId4"/>
    <sheet name="Definitions" sheetId="3" state="visible" r:id="rId5"/>
    <sheet name="Sources" sheetId="4" state="visible" r:id="rId6"/>
  </sheets>
  <definedNames>
    <definedName function="false" hidden="true" localSheetId="1" name="_xlnm._FilterDatabase" vbProcedure="false">'AI Usage'!$A$1:$O$3</definedName>
    <definedName function="false" hidden="true" localSheetId="2" name="_xlnm._FilterDatabase" vbProcedure="false">Definitions!$A$1:$C$7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<sst xmlns="http://schemas.openxmlformats.org/spreadsheetml/2006/main" count="86" uniqueCount="74">
  <si>
    <t xml:space="preserve">AI USAGE AND COST DASHBOARD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</si>
  <si>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</si>
  <si>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</si>
  <si>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</si>
  <si>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</si>
  <si>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Date</t>
  </si>
  <si>
    <t xml:space="preserve">Feature</t>
  </si>
  <si>
    <t xml:space="preserve">Mode</t>
  </si>
  <si>
    <t xml:space="preserve">Model</t>
  </si>
  <si>
    <t xml:space="preserve">Test/live</t>
  </si>
  <si>
    <t xml:space="preserve">Input tokens</t>
  </si>
  <si>
    <t xml:space="preserve">Output tokens</t>
  </si>
  <si>
    <t xml:space="preserve">Cost</t>
  </si>
  <si>
    <t xml:space="preserve">Latency</t>
  </si>
  <si>
    <t xml:space="preserve">Fallback</t>
  </si>
  <si>
    <t xml:space="preserve">Error</t>
  </si>
  <si>
    <t xml:space="preserve">Guardrail</t>
  </si>
  <si>
    <t xml:space="preserve">PII redacted</t>
  </si>
  <si>
    <t xml:space="preserve">Audit ID</t>
  </si>
  <si>
    <t xml:space="preserve">Status</t>
  </si>
  <si>
    <t xml:space="preserve">2026-08-17</t>
  </si>
  <si>
    <t xml:space="preserve">lead_center_copilot</t>
  </si>
  <si>
    <t xml:space="preserve">openai_responses</t>
  </si>
  <si>
    <t xml:space="preserve">gpt-5.6-luna</t>
  </si>
  <si>
    <t xml:space="preserve">Test</t>
  </si>
  <si>
    <t xml:space="preserve">Pass</t>
  </si>
  <si>
    <t xml:space="preserve">redacted</t>
  </si>
  <si>
    <t xml:space="preserve">Verified Test</t>
  </si>
  <si>
    <t xml:space="preserve">TOTAL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</si>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</sst>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F4CCC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IUsageData" displayName="AIUsageData" ref="A1:O3" headerRowCount="1" totalsRowCount="0" totalsRowShown="0">
  <autoFilter ref="A1:O3"/>
  <tableColumns count="15">
    <tableColumn id="1" name="Date"/>
    <tableColumn id="2" name="Feature"/>
    <tableColumn id="3" name="Mode"/>
    <tableColumn id="4" name="Model"/>
    <tableColumn id="5" name="Test/live"/>
    <tableColumn id="6" name="Input tokens"/>
    <tableColumn id="7" name="Output tokens"/>
    <tableColumn id="8" name="Cost"/>
    <tableColumn id="9" name="Latency"/>
    <tableColumn id="10" name="Fallback"/>
    <tableColumn id="11" name="Error"/>
    <tableColumn id="12" name="Guardrail"/>
    <tableColumn id="13" name="PII redacted"/>
    <tableColumn id="14" name="Audit ID"/>
    <tableColumn id="1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COUNTA('AI Usage'!A2:A500)</f>
        <v>2</v>
      </c>
    </row>
    <row r="3" customFormat="false" ht="15" hidden="false" customHeight="false" outlineLevel="0" collapsed="false">
      <c r="A3" s="2" t="s">
        <v>3</v>
      </c>
      <c r="B3" s="2" t="n">
        <f aca="false">COUNTIF('AI Usage'!A2:O500,"Verified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COUNTIF('AI Usage'!A2:O500,"Disabled")+COUNTIF('AI Usage'!A2:O500,"Held")</f>
        <v>0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2" min="10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5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n">
        <v>835</v>
      </c>
      <c r="G2" s="2" t="n">
        <v>964</v>
      </c>
      <c r="H2" s="2" t="n">
        <v>0.006619</v>
      </c>
      <c r="I2" s="2" t="n">
        <v>7624</v>
      </c>
      <c r="J2" s="2"/>
      <c r="K2" s="2"/>
      <c r="L2" s="2" t="s">
        <v>25</v>
      </c>
      <c r="M2" s="3" t="b">
        <f aca="false">TRUE()</f>
        <v>1</v>
      </c>
      <c r="N2" s="2" t="s">
        <v>26</v>
      </c>
      <c r="O2" s="2" t="s">
        <v>27</v>
      </c>
    </row>
    <row r="3" customFormat="false" ht="15" hidden="false" customHeight="false" outlineLevel="0" collapsed="false">
      <c r="A3" s="2" t="s">
        <v>28</v>
      </c>
      <c r="B3" s="2"/>
      <c r="C3" s="2"/>
      <c r="D3" s="2"/>
      <c r="E3" s="2"/>
      <c r="F3" s="2" t="n">
        <f aca="false">SUM(F2)</f>
        <v>835</v>
      </c>
      <c r="G3" s="2" t="n">
        <f aca="false">SUM(G2)</f>
        <v>964</v>
      </c>
      <c r="H3" s="2" t="n">
        <f aca="false">SUM(H2)</f>
        <v>0.006619</v>
      </c>
      <c r="I3" s="2" t="n">
        <f aca="false">AVERAGE(I2)</f>
        <v>7624</v>
      </c>
      <c r="J3" s="2"/>
      <c r="K3" s="2"/>
      <c r="L3" s="2"/>
      <c r="M3" s="2"/>
      <c r="N3" s="2"/>
      <c r="O3" s="2" t="s">
        <v>27</v>
      </c>
    </row>
  </sheetData>
  <autoFilter ref="A1:O3"/>
  <conditionalFormatting sqref="O2:O500">
    <cfRule type="expression" priority="2" aboveAverage="0" equalAverage="0" bottom="0" percent="0" rank="0" text="" dxfId="5">
      <formula>OR(O2="Disabled",O2="Operational Risk")</formula>
    </cfRule>
    <cfRule type="expression" priority="3" aboveAverage="0" equalAverage="0" bottom="0" percent="0" rank="0" text="" dxfId="6">
      <formula>OR(O2="Verified Live",O2="Verified Test")</formula>
    </cfRule>
  </conditionalFormatting>
  <dataValidations count="1">
    <dataValidation allowBlank="true" errorStyle="stop" operator="between" showDropDown="false" showErrorMessage="false" showInputMessage="false" sqref="O2:O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29</v>
      </c>
      <c r="B1" s="1" t="s">
        <v>30</v>
      </c>
      <c r="C1" s="1" t="s">
        <v>31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</row>
    <row r="3" customFormat="false" ht="23.8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40</v>
      </c>
    </row>
    <row r="5" customFormat="false" ht="15" hidden="false" customHeight="false" outlineLevel="0" collapsed="false">
      <c r="A5" s="2" t="s">
        <v>41</v>
      </c>
      <c r="B5" s="2" t="s">
        <v>42</v>
      </c>
      <c r="C5" s="2" t="s">
        <v>43</v>
      </c>
    </row>
    <row r="6" customFormat="false" ht="23.85" hidden="false" customHeight="false" outlineLevel="0" collapsed="false">
      <c r="A6" s="2" t="s">
        <v>27</v>
      </c>
      <c r="B6" s="2" t="s">
        <v>44</v>
      </c>
      <c r="C6" s="2" t="s">
        <v>45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48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19</v>
      </c>
    </row>
    <row r="2" customFormat="false" ht="15" hidden="false" customHeight="false" outlineLevel="0" collapsed="false">
      <c r="A2" s="2" t="s">
        <v>53</v>
      </c>
      <c r="B2" s="2" t="s">
        <v>54</v>
      </c>
      <c r="C2" s="2" t="s">
        <v>55</v>
      </c>
      <c r="D2" s="2" t="s">
        <v>56</v>
      </c>
      <c r="E2" s="2" t="s">
        <v>41</v>
      </c>
    </row>
    <row r="3" customFormat="false" ht="15" hidden="false" customHeight="false" outlineLevel="0" collapsed="false">
      <c r="A3" s="2" t="s">
        <v>57</v>
      </c>
      <c r="B3" s="2" t="s">
        <v>54</v>
      </c>
      <c r="C3" s="2" t="s">
        <v>58</v>
      </c>
      <c r="D3" s="2" t="s">
        <v>59</v>
      </c>
      <c r="E3" s="2" t="s">
        <v>41</v>
      </c>
    </row>
    <row r="4" customFormat="false" ht="15" hidden="false" customHeight="false" outlineLevel="0" collapsed="false">
      <c r="A4" s="2" t="s">
        <v>60</v>
      </c>
      <c r="B4" s="2" t="s">
        <v>54</v>
      </c>
      <c r="C4" s="2" t="s">
        <v>61</v>
      </c>
      <c r="D4" s="2" t="s">
        <v>62</v>
      </c>
      <c r="E4" s="2" t="s">
        <v>41</v>
      </c>
    </row>
    <row r="5" customFormat="false" ht="15" hidden="false" customHeight="false" outlineLevel="0" collapsed="false">
      <c r="A5" s="2" t="s">
        <v>63</v>
      </c>
      <c r="B5" s="2" t="s">
        <v>54</v>
      </c>
      <c r="C5" s="2" t="s">
        <v>64</v>
      </c>
      <c r="D5" s="2" t="s">
        <v>65</v>
      </c>
      <c r="E5" s="2" t="s">
        <v>41</v>
      </c>
    </row>
    <row r="6" customFormat="false" ht="15" hidden="false" customHeight="false" outlineLevel="0" collapsed="false">
      <c r="A6" s="2" t="s">
        <v>66</v>
      </c>
      <c r="B6" s="2" t="s">
        <v>67</v>
      </c>
      <c r="C6" s="2" t="s">
        <v>68</v>
      </c>
      <c r="D6" s="2" t="s">
        <v>69</v>
      </c>
      <c r="E6" s="2" t="s">
        <v>27</v>
      </c>
    </row>
    <row r="7" customFormat="false" ht="23.85" hidden="false" customHeight="false" outlineLevel="0" collapsed="false">
      <c r="A7" s="2" t="s">
        <v>70</v>
      </c>
      <c r="B7" s="2" t="s">
        <v>54</v>
      </c>
      <c r="C7" s="2" t="s">
        <v>71</v>
      </c>
      <c r="D7" s="2" t="s">
        <v>72</v>
      </c>
      <c r="E7" s="2" t="s">
        <v>73</v>
      </c>
    </row>
  </sheetData>
  <autoFilter ref="A1:E7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AI USAGE AND COST DASHBOARD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