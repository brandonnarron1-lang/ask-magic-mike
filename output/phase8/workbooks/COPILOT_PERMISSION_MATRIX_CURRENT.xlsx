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pilot Permissions" sheetId="2" state="visible" r:id="rId4"/>
    <sheet name="Definitions" sheetId="3" state="visible" r:id="rId5"/>
    <sheet name="Sources" sheetId="4" state="visible" r:id="rId6"/>
  </sheets>
  <definedNames>
    <definedName function="false" hidden="true" localSheetId="1" name="_xlnm._FilterDatabase" vbProcedure="false">'Copilot Permissions'!$A$1:$M$5</definedName>
    <definedName function="false" hidden="true" localSheetId="2" name="_xlnm._FilterDatabase" vbProcedure="false">Definitions!$A$1:$C$7</definedName>
    <definedName function="false" hidden="true" localSheetId="3" name="_xlnm._FilterDatabase" vbProcedure="false">Sources!$A$1:$E$7</definedName>
    <definedName function="false" hidden="true" localSheetId="0" name="_xlnm._FilterDatabase" vbProcedure="false">Summary!$A$1:$B$4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<sst xmlns="http://schemas.openxmlformats.org/spreadsheetml/2006/main" count="101" uniqueCount="84">
  <si>
    <t xml:space="preserve">COPILOT PERMISSION MATRIX CURRENT</t>
  </si>
  <si>
    <t xml:space="preserve">Value</t>
  </si>
  <si>
    <t xml:space="preserve">Data rows</t>
  </si>
  <si>
    <t xml:space="preserve">Verified live rows</t>
  </si>
  <si>
    <t xml:space="preserve">Disabled / held rows</t>
  </si>
  <si>
    <t xml:space="preserve">Tool</t>
  </si>
  <si>
    <t xml:space="preserve">Read/write</t>
  </si>
  <si>
    <t xml:space="preserve">Admin</t>
  </si>
  <si>
    <t xml:space="preserve">Primary owner</t>
  </si>
  <si>
    <t xml:space="preserve">Agent</t>
  </si>
  <si>
    <t xml:space="preserve">Analyst</t>
  </si>
  <si>
    <t xml:space="preserve">Viewer</t>
  </si>
  <si>
    <t xml:space="preserve">Test only</t>
  </si>
  <si>
    <t xml:space="preserve">Approval</t>
  </si>
  <si>
    <t xml:space="preserve">Consent</t>
  </si>
  <si>
    <t xml:space="preserve">Audit</t>
  </si>
  <si>
    <t xml:space="preserve">Failure behavior</t>
  </si>
  <si>
    <t xml:space="preserve">Status</t>
  </si>
  <si>
    <t xml:space="preserve">Read lead facts</t>
  </si>
  <si>
    <t xml:space="preserve">read</t>
  </si>
  <si>
    <t xml:space="preserve">assigned only</t>
  </si>
  <si>
    <t xml:space="preserve">redacted</t>
  </si>
  <si>
    <t xml:space="preserve">session</t>
  </si>
  <si>
    <t xml:space="preserve">n/a</t>
  </si>
  <si>
    <t xml:space="preserve">deny</t>
  </si>
  <si>
    <t xml:space="preserve">Code Complete</t>
  </si>
  <si>
    <t xml:space="preserve">Generate advisory</t>
  </si>
  <si>
    <t xml:space="preserve">append result</t>
  </si>
  <si>
    <t xml:space="preserve">human review</t>
  </si>
  <si>
    <t xml:space="preserve">PII minimized</t>
  </si>
  <si>
    <t xml:space="preserve">fallback</t>
  </si>
  <si>
    <t xml:space="preserve">Verified Test</t>
  </si>
  <si>
    <t xml:space="preserve">Change assignment</t>
  </si>
  <si>
    <t xml:space="preserve">write</t>
  </si>
  <si>
    <t xml:space="preserve">not allowed</t>
  </si>
  <si>
    <t xml:space="preserve">blocked</t>
  </si>
  <si>
    <t xml:space="preserve">Disabled</t>
  </si>
  <si>
    <t xml:space="preserve">Send message</t>
  </si>
  <si>
    <t xml:space="preserve">permission required</t>
  </si>
  <si>
    <t xml:space="preserve">Term</t>
  </si>
  <si>
    <t xml:space="preserve">Definition</t>
  </si>
  <si>
    <t xml:space="preserve">Calculation / rule</t>
  </si>
  <si>
    <t xml:space="preserve">Genuine lead</t>
  </si>
  <si>
    <t xml:space="preserve">A public consumer submission not marked test</t>
  </si>
  <si>
    <t xml:space="preserve">is_test = false</t>
  </si>
  <si>
    <t xml:space="preserve">Suppressed QA</t>
  </si>
  <si>
    <t xml:space="preserve">Unmistakable internal QA record excluded from outreach and KPIs</t>
  </si>
  <si>
    <t xml:space="preserve">is_test = true AND communication_suppressed = true</t>
  </si>
  <si>
    <t xml:space="preserve">Business KPI leads</t>
  </si>
  <si>
    <t xml:space="preserve">Genuine leads only</t>
  </si>
  <si>
    <t xml:space="preserve">Genuine live leads; QA excluded</t>
  </si>
  <si>
    <t xml:space="preserve">Verified Live</t>
  </si>
  <si>
    <t xml:space="preserve">Observed in authenticated production</t>
  </si>
  <si>
    <t xml:space="preserve">Must have current evidence</t>
  </si>
  <si>
    <t xml:space="preserve">Observed only with controlled synthetic/suppressed data</t>
  </si>
  <si>
    <t xml:space="preserve">Never relabel as commercial performance</t>
  </si>
  <si>
    <t xml:space="preserve">Approval Required</t>
  </si>
  <si>
    <t xml:space="preserve">Implemented but not enabled</t>
  </si>
  <si>
    <t xml:space="preserve">Separate explicit decision</t>
  </si>
  <si>
    <t xml:space="preserve">Source ID</t>
  </si>
  <si>
    <t xml:space="preserve">Class</t>
  </si>
  <si>
    <t xml:space="preserve">Source</t>
  </si>
  <si>
    <t xml:space="preserve">Evidence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</si>
  <si>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</si>
  <si>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</si>
  <si>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</si>
  <si>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</si>
  <si>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S02</t>
  </si>
  <si>
    <t xml:space="preserve">Vercel deployment</t>
  </si>
  <si>
    <t xml:space="preserve">dpl_2vgceZpCb4PSuoYffvwi7QAxYnrX</t>
  </si>
  <si>
    <t xml:space="preserve">S03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</si>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</sst>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pilotPermissionsData" displayName="CopilotPermissionsData" ref="A1:M5" headerRowCount="1" totalsRowCount="0" totalsRowShown="0">
  <autoFilter ref="A1:M5"/>
  <tableColumns count="13">
    <tableColumn id="1" name="Tool"/>
    <tableColumn id="2" name="Read/write"/>
    <tableColumn id="3" name="Admin"/>
    <tableColumn id="4" name="Primary owner"/>
    <tableColumn id="5" name="Agent"/>
    <tableColumn id="6" name="Analyst"/>
    <tableColumn id="7" name="Viewer"/>
    <tableColumn id="8" name="Test only"/>
    <tableColumn id="9" name="Approval"/>
    <tableColumn id="10" name="Consent"/>
    <tableColumn id="11" name="Audit"/>
    <tableColumn id="12" name="Failure behavior"/>
    <tableColumn id="13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finitions_3" displayName="Definitions_3" ref="A1:C7" headerRowCount="1" totalsRowCount="0" totalsRowShown="0">
  <autoFilter ref="A1:C7"/>
  <tableColumns count="3">
    <tableColumn id="1" name="Term"/>
    <tableColumn id="2" name="Definition"/>
    <tableColumn id="3" name="Calculation /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_4" displayName="Sources_4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COUNTA('Copilot Permissions'!A2:A500)</f>
        <v>4</v>
      </c>
    </row>
    <row r="3" customFormat="false" ht="15" hidden="false" customHeight="false" outlineLevel="0" collapsed="false">
      <c r="A3" s="2" t="s">
        <v>3</v>
      </c>
      <c r="B3" s="2" t="n">
        <f aca="false">COUNTIF('Copilot Permissions'!A2:M500,"Verified Live")</f>
        <v>0</v>
      </c>
    </row>
    <row r="4" customFormat="false" ht="15" hidden="false" customHeight="false" outlineLevel="0" collapsed="false">
      <c r="A4" s="2" t="s">
        <v>4</v>
      </c>
      <c r="B4" s="2" t="n">
        <f aca="false">COUNTIF('Copilot Permissions'!A2:M500,"Disabled")+COUNTIF('Copilot Permissions'!A2:M500,"Held")</f>
        <v>2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8" min="6" style="0" width="11"/>
    <col collapsed="false" customWidth="true" hidden="false" outlineLevel="0" max="9" min="9" style="0" width="14"/>
    <col collapsed="false" customWidth="true" hidden="false" outlineLevel="0" max="10" min="10" style="0" width="21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15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3" t="b">
        <f aca="false">TRUE()</f>
        <v>1</v>
      </c>
      <c r="D2" s="3" t="b">
        <f aca="false">TRUE()</f>
        <v>1</v>
      </c>
      <c r="E2" s="2" t="s">
        <v>20</v>
      </c>
      <c r="F2" s="2" t="s">
        <v>21</v>
      </c>
      <c r="G2" s="3" t="b">
        <f aca="false">FALSE()</f>
        <v>0</v>
      </c>
      <c r="H2" s="3" t="b">
        <f aca="false">FALSE()</f>
        <v>0</v>
      </c>
      <c r="I2" s="2" t="s">
        <v>22</v>
      </c>
      <c r="J2" s="2" t="s">
        <v>23</v>
      </c>
      <c r="K2" s="3" t="b">
        <f aca="false">TRUE()</f>
        <v>1</v>
      </c>
      <c r="L2" s="2" t="s">
        <v>24</v>
      </c>
      <c r="M2" s="2" t="s">
        <v>25</v>
      </c>
    </row>
    <row r="3" customFormat="false" ht="15" hidden="false" customHeight="false" outlineLevel="0" collapsed="false">
      <c r="A3" s="2" t="s">
        <v>26</v>
      </c>
      <c r="B3" s="2" t="s">
        <v>27</v>
      </c>
      <c r="C3" s="3" t="b">
        <f aca="false">TRUE()</f>
        <v>1</v>
      </c>
      <c r="D3" s="3" t="b">
        <f aca="false">TRUE()</f>
        <v>1</v>
      </c>
      <c r="E3" s="2" t="s">
        <v>20</v>
      </c>
      <c r="F3" s="3" t="b">
        <f aca="false">FALSE()</f>
        <v>0</v>
      </c>
      <c r="G3" s="3" t="b">
        <f aca="false">FALSE()</f>
        <v>0</v>
      </c>
      <c r="H3" s="3" t="b">
        <f aca="false">TRUE()</f>
        <v>1</v>
      </c>
      <c r="I3" s="2" t="s">
        <v>28</v>
      </c>
      <c r="J3" s="2" t="s">
        <v>29</v>
      </c>
      <c r="K3" s="3" t="b">
        <f aca="false">TRUE()</f>
        <v>1</v>
      </c>
      <c r="L3" s="2" t="s">
        <v>30</v>
      </c>
      <c r="M3" s="2" t="s">
        <v>31</v>
      </c>
    </row>
    <row r="4" customFormat="false" ht="15" hidden="false" customHeight="false" outlineLevel="0" collapsed="false">
      <c r="A4" s="2" t="s">
        <v>32</v>
      </c>
      <c r="B4" s="2" t="s">
        <v>33</v>
      </c>
      <c r="C4" s="3" t="b">
        <f aca="false">FALSE()</f>
        <v>0</v>
      </c>
      <c r="D4" s="3" t="b">
        <f aca="false">FALSE()</f>
        <v>0</v>
      </c>
      <c r="E4" s="3" t="b">
        <f aca="false">FALSE()</f>
        <v>0</v>
      </c>
      <c r="F4" s="3" t="b">
        <f aca="false">FALSE()</f>
        <v>0</v>
      </c>
      <c r="G4" s="3" t="b">
        <f aca="false">FALSE()</f>
        <v>0</v>
      </c>
      <c r="H4" s="3" t="b">
        <f aca="false">FALSE()</f>
        <v>0</v>
      </c>
      <c r="I4" s="2" t="s">
        <v>34</v>
      </c>
      <c r="J4" s="2" t="s">
        <v>23</v>
      </c>
      <c r="K4" s="3" t="b">
        <f aca="false">TRUE()</f>
        <v>1</v>
      </c>
      <c r="L4" s="2" t="s">
        <v>35</v>
      </c>
      <c r="M4" s="2" t="s">
        <v>36</v>
      </c>
    </row>
    <row r="5" customFormat="false" ht="15" hidden="false" customHeight="false" outlineLevel="0" collapsed="false">
      <c r="A5" s="2" t="s">
        <v>37</v>
      </c>
      <c r="B5" s="2" t="s">
        <v>33</v>
      </c>
      <c r="C5" s="3" t="b">
        <f aca="false">FALSE()</f>
        <v>0</v>
      </c>
      <c r="D5" s="3" t="b">
        <f aca="false">FALSE()</f>
        <v>0</v>
      </c>
      <c r="E5" s="3" t="b">
        <f aca="false">FALSE()</f>
        <v>0</v>
      </c>
      <c r="F5" s="3" t="b">
        <f aca="false">FALSE()</f>
        <v>0</v>
      </c>
      <c r="G5" s="3" t="b">
        <f aca="false">FALSE()</f>
        <v>0</v>
      </c>
      <c r="H5" s="3" t="b">
        <f aca="false">FALSE()</f>
        <v>0</v>
      </c>
      <c r="I5" s="2" t="s">
        <v>34</v>
      </c>
      <c r="J5" s="2" t="s">
        <v>38</v>
      </c>
      <c r="K5" s="3" t="b">
        <f aca="false">TRUE()</f>
        <v>1</v>
      </c>
      <c r="L5" s="2" t="s">
        <v>35</v>
      </c>
      <c r="M5" s="2" t="s">
        <v>36</v>
      </c>
    </row>
  </sheetData>
  <autoFilter ref="A1:M5"/>
  <conditionalFormatting sqref="M2:M500">
    <cfRule type="expression" priority="2" aboveAverage="0" equalAverage="0" bottom="0" percent="0" rank="0" text="" dxfId="6">
      <formula>OR(M2="Disabled",M2="Operational Risk")</formula>
    </cfRule>
    <cfRule type="expression" priority="3" aboveAverage="0" equalAverage="0" bottom="0" percent="0" rank="0" text="" dxfId="7">
      <formula>OR(M2="Verified Live",M2="Verified Test")</formula>
    </cfRule>
  </conditionalFormatting>
  <dataValidations count="1">
    <dataValidation allowBlank="true" errorStyle="stop" operator="between" showDropDown="false" showErrorMessage="false" showInputMessage="false" sqref="M2:M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39</v>
      </c>
      <c r="B1" s="1" t="s">
        <v>40</v>
      </c>
      <c r="C1" s="1" t="s">
        <v>41</v>
      </c>
    </row>
    <row r="2" customFormat="false" ht="15" hidden="false" customHeight="false" outlineLevel="0" collapsed="false">
      <c r="A2" s="2" t="s">
        <v>42</v>
      </c>
      <c r="B2" s="2" t="s">
        <v>43</v>
      </c>
      <c r="C2" s="2" t="s">
        <v>44</v>
      </c>
    </row>
    <row r="3" customFormat="false" ht="23.85" hidden="false" customHeight="false" outlineLevel="0" collapsed="false">
      <c r="A3" s="2" t="s">
        <v>45</v>
      </c>
      <c r="B3" s="2" t="s">
        <v>46</v>
      </c>
      <c r="C3" s="2" t="s">
        <v>47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</row>
    <row r="5" customFormat="false" ht="15" hidden="false" customHeight="false" outlineLevel="0" collapsed="false">
      <c r="A5" s="2" t="s">
        <v>51</v>
      </c>
      <c r="B5" s="2" t="s">
        <v>52</v>
      </c>
      <c r="C5" s="2" t="s">
        <v>53</v>
      </c>
    </row>
    <row r="6" customFormat="false" ht="23.85" hidden="false" customHeight="false" outlineLevel="0" collapsed="false">
      <c r="A6" s="2" t="s">
        <v>31</v>
      </c>
      <c r="B6" s="2" t="s">
        <v>54</v>
      </c>
      <c r="C6" s="2" t="s">
        <v>55</v>
      </c>
    </row>
    <row r="7" customFormat="false" ht="15" hidden="false" customHeight="false" outlineLevel="0" collapsed="false">
      <c r="A7" s="2" t="s">
        <v>56</v>
      </c>
      <c r="B7" s="2" t="s">
        <v>57</v>
      </c>
      <c r="C7" s="2" t="s">
        <v>58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59</v>
      </c>
      <c r="B1" s="1" t="s">
        <v>60</v>
      </c>
      <c r="C1" s="1" t="s">
        <v>61</v>
      </c>
      <c r="D1" s="1" t="s">
        <v>62</v>
      </c>
      <c r="E1" s="1" t="s">
        <v>17</v>
      </c>
    </row>
    <row r="2" customFormat="false" ht="15" hidden="false" customHeight="false" outlineLevel="0" collapsed="false">
      <c r="A2" s="2" t="s">
        <v>63</v>
      </c>
      <c r="B2" s="2" t="s">
        <v>64</v>
      </c>
      <c r="C2" s="2" t="s">
        <v>65</v>
      </c>
      <c r="D2" s="2" t="s">
        <v>66</v>
      </c>
      <c r="E2" s="2" t="s">
        <v>51</v>
      </c>
    </row>
    <row r="3" customFormat="false" ht="15" hidden="false" customHeight="false" outlineLevel="0" collapsed="false">
      <c r="A3" s="2" t="s">
        <v>67</v>
      </c>
      <c r="B3" s="2" t="s">
        <v>64</v>
      </c>
      <c r="C3" s="2" t="s">
        <v>68</v>
      </c>
      <c r="D3" s="2" t="s">
        <v>69</v>
      </c>
      <c r="E3" s="2" t="s">
        <v>51</v>
      </c>
    </row>
    <row r="4" customFormat="false" ht="15" hidden="false" customHeight="false" outlineLevel="0" collapsed="false">
      <c r="A4" s="2" t="s">
        <v>70</v>
      </c>
      <c r="B4" s="2" t="s">
        <v>64</v>
      </c>
      <c r="C4" s="2" t="s">
        <v>71</v>
      </c>
      <c r="D4" s="2" t="s">
        <v>72</v>
      </c>
      <c r="E4" s="2" t="s">
        <v>51</v>
      </c>
    </row>
    <row r="5" customFormat="false" ht="15" hidden="false" customHeight="false" outlineLevel="0" collapsed="false">
      <c r="A5" s="2" t="s">
        <v>73</v>
      </c>
      <c r="B5" s="2" t="s">
        <v>64</v>
      </c>
      <c r="C5" s="2" t="s">
        <v>74</v>
      </c>
      <c r="D5" s="2" t="s">
        <v>75</v>
      </c>
      <c r="E5" s="2" t="s">
        <v>51</v>
      </c>
    </row>
    <row r="6" customFormat="false" ht="15" hidden="false" customHeight="false" outlineLevel="0" collapsed="false">
      <c r="A6" s="2" t="s">
        <v>76</v>
      </c>
      <c r="B6" s="2" t="s">
        <v>77</v>
      </c>
      <c r="C6" s="2" t="s">
        <v>78</v>
      </c>
      <c r="D6" s="2" t="s">
        <v>79</v>
      </c>
      <c r="E6" s="2" t="s">
        <v>31</v>
      </c>
    </row>
    <row r="7" customFormat="false" ht="23.85" hidden="false" customHeight="false" outlineLevel="0" collapsed="false">
      <c r="A7" s="2" t="s">
        <v>80</v>
      </c>
      <c r="B7" s="2" t="s">
        <v>64</v>
      </c>
      <c r="C7" s="2" t="s">
        <v>81</v>
      </c>
      <c r="D7" s="2" t="s">
        <v>82</v>
      </c>
      <c r="E7" s="2" t="s">
        <v>83</v>
      </c>
    </row>
  </sheetData>
  <autoFilter ref="A1:E7"/>
  <conditionalFormatting sqref="E2:E500">
    <cfRule type="expression" priority="2" aboveAverage="0" equalAverage="0" bottom="0" percent="0" rank="0" text="" dxfId="6">
      <formula>OR(E2="Disabled",E2="Operational Risk")</formula>
    </cfRule>
    <cfRule type="expression" priority="3" aboveAverage="0" equalAverage="0" bottom="0" percent="0" rank="0" text="" dxfId="7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COPILOT PERMISSION MATRIX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