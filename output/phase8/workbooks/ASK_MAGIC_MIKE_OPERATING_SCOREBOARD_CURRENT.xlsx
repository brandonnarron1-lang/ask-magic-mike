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Dashboard" sheetId="1" state="visible" r:id="rId3"/>
    <sheet name="Funnel" sheetId="2" state="visible" r:id="rId4"/>
    <sheet name="Sources" sheetId="3" state="visible" r:id="rId5"/>
    <sheet name="Forms" sheetId="4" state="visible" r:id="rId6"/>
    <sheet name="Assignment SLA" sheetId="5" state="visible" r:id="rId7"/>
    <sheet name="Contact SLA" sheetId="6" state="visible" r:id="rId8"/>
    <sheet name="Notifications" sheetId="7" state="visible" r:id="rId9"/>
    <sheet name="AI Usage" sheetId="8" state="visible" r:id="rId10"/>
    <sheet name="Communication Permissions" sheetId="9" state="visible" r:id="rId11"/>
    <sheet name="Message Sequences" sheetId="10" state="visible" r:id="rId12"/>
    <sheet name="QA Exclusions" sheetId="11" state="visible" r:id="rId13"/>
    <sheet name="Definitions" sheetId="12" state="visible" r:id="rId14"/>
  </sheets>
  <definedNames>
    <definedName function="false" hidden="true" localSheetId="7" name="_xlnm._FilterDatabase" vbProcedure="false">'AI Usage'!$A$1:$F$3</definedName>
    <definedName function="false" hidden="true" localSheetId="4" name="_xlnm._FilterDatabase" vbProcedure="false">'Assignment SLA'!$A$1:$D$3</definedName>
    <definedName function="false" hidden="true" localSheetId="8" name="_xlnm._FilterDatabase" vbProcedure="false">'Communication Permissions'!$A$1:$E$3</definedName>
    <definedName function="false" hidden="true" localSheetId="5" name="_xlnm._FilterDatabase" vbProcedure="false">'Contact SLA'!$A$1:$D$2</definedName>
    <definedName function="false" hidden="true" localSheetId="11" name="_xlnm._FilterDatabase" vbProcedure="false">Definitions!$A$1:$C$7</definedName>
    <definedName function="false" hidden="true" localSheetId="0" name="_xlnm._FilterDatabase" vbProcedure="false">'Executive Dashboard'!$A$1:$E$7</definedName>
    <definedName function="false" hidden="true" localSheetId="3" name="_xlnm._FilterDatabase" vbProcedure="false">Forms!$A$1:$G$8</definedName>
    <definedName function="false" hidden="true" localSheetId="1" name="_xlnm._FilterDatabase" vbProcedure="false">Funnel!$A$1:$E$5</definedName>
    <definedName function="false" hidden="true" localSheetId="9" name="_xlnm._FilterDatabase" vbProcedure="false">'Message Sequences'!$A$1:$E$2</definedName>
    <definedName function="false" hidden="true" localSheetId="6" name="_xlnm._FilterDatabase" vbProcedure="false">Notifications!$A$1:$E$3</definedName>
    <definedName function="false" hidden="true" localSheetId="10" name="_xlnm._FilterDatabase" vbProcedure="false">'QA Exclusions'!$A$1:$D$3</definedName>
    <definedName function="false" hidden="true" localSheetId="2" name="_xlnm._FilterDatabase" vbProcedure="false">Sources!$A$1:$E$7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<sst xmlns="http://schemas.openxmlformats.org/spreadsheetml/2006/main" count="171" uniqueCount="121">
  <si>
    <t xml:space="preserve">ASK MAGIC MIKE — CURRENT OPERATING SCOREBOARD</t>
  </si>
  <si>
    <t xml:space="preserve">Verified value</t>
  </si>
  <si>
    <t xml:space="preserve">Business KPI</t>
  </si>
  <si>
    <t xml:space="preserve">Status</t>
  </si>
  <si>
    <t xml:space="preserve">Source</t>
  </si>
  <si>
    <t xml:space="preserve">Genuine leads</t>
  </si>
  <si>
    <t xml:space="preserve">Verified Live</t>
  </si>
  <si>
    <t xml:space="preserve">S03</t>
  </si>
  <si>
    <t xml:space="preserve">Suppressed QA</t>
  </si>
  <si>
    <t xml:space="preserve">Verified Test</t>
  </si>
  <si>
    <t xml:space="preserve">QA in Active/New</t>
  </si>
  <si>
    <t xml:space="preserve">Pending notifications</t>
  </si>
  <si>
    <t xml:space="preserve">Live notification failures</t>
  </si>
  <si>
    <t xml:space="preserve">Commercial revenue</t>
  </si>
  <si>
    <t xml:space="preserve">QA exclusion check</t>
  </si>
  <si>
    <t xml:space="preserve">Stage</t>
  </si>
  <si>
    <t xml:space="preserve">Live</t>
  </si>
  <si>
    <t xml:space="preserve">QA</t>
  </si>
  <si>
    <t xml:space="preserve">KPI formula</t>
  </si>
  <si>
    <t xml:space="preserve">Created</t>
  </si>
  <si>
    <t xml:space="preserve">Qualified</t>
  </si>
  <si>
    <t xml:space="preserve">Appointment</t>
  </si>
  <si>
    <t xml:space="preserve">Closing</t>
  </si>
  <si>
    <t xml:space="preserve">Source ID</t>
  </si>
  <si>
    <t xml:space="preserve">Class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</si>
  <si>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</si>
  <si>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</si>
  <si>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</si>
  <si>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</si>
  <si>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</si>
  <si>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</si>
  <si>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</si>
  <si>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</si>
  <si>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</si>
  <si>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</si>
  <si>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</si>
  <si>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</si>
  <si>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</si>
  <si>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</si>
  <si>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</si>
  <si>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</si>
  <si>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</si>
  <si>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</si>
  <si>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</si>
  <si>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</si>
  <si>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</si>
  <si>
    <t xml:space="preserve">Form</t>
  </si>
  <si>
    <t xml:space="preserve">Purpose</t>
  </si>
  <si>
    <t xml:space="preserve">WP active</t>
  </si>
  <si>
    <t xml:space="preserve">Forwarding</t>
  </si>
  <si>
    <t xml:space="preserve">Live leads</t>
  </si>
  <si>
    <t xml:space="preserve">Contact Us</t>
  </si>
  <si>
    <t xml:space="preserve">held</t>
  </si>
  <si>
    <t xml:space="preserve">Held</t>
  </si>
  <si>
    <t xml:space="preserve">Cash Offer Form</t>
  </si>
  <si>
    <t xml:space="preserve">Home Value Form</t>
  </si>
  <si>
    <t xml:space="preserve">enabled</t>
  </si>
  <si>
    <t xml:space="preserve">Join Our Team Form</t>
  </si>
  <si>
    <t xml:space="preserve">excluded_recruiting</t>
  </si>
  <si>
    <t xml:space="preserve">Rental Property Search</t>
  </si>
  <si>
    <t xml:space="preserve">Short Term Home Rentals</t>
  </si>
  <si>
    <t xml:space="preserve">Never miss a property!</t>
  </si>
  <si>
    <t xml:space="preserve">shadow_not_allowlisted</t>
  </si>
  <si>
    <t xml:space="preserve">Metric</t>
  </si>
  <si>
    <t xml:space="preserve">Live due</t>
  </si>
  <si>
    <t xml:space="preserve">QA excluded</t>
  </si>
  <si>
    <t xml:space="preserve">Rate</t>
  </si>
  <si>
    <t xml:space="preserve">Within SLA</t>
  </si>
  <si>
    <t xml:space="preserve">Overdue</t>
  </si>
  <si>
    <t xml:space="preserve">Live count</t>
  </si>
  <si>
    <t xml:space="preserve">Target</t>
  </si>
  <si>
    <t xml:space="preserve">Pass</t>
  </si>
  <si>
    <t xml:space="preserve">Median first contact minutes</t>
  </si>
  <si>
    <t xml:space="preserve">Pending</t>
  </si>
  <si>
    <t xml:space="preserve">Sent</t>
  </si>
  <si>
    <t xml:space="preserve">Failed</t>
  </si>
  <si>
    <t xml:space="preserve">Failure rate</t>
  </si>
  <si>
    <t xml:space="preserve">Mode</t>
  </si>
  <si>
    <t xml:space="preserve">Runs</t>
  </si>
  <si>
    <t xml:space="preserve">Input tokens</t>
  </si>
  <si>
    <t xml:space="preserve">Output tokens</t>
  </si>
  <si>
    <t xml:space="preserve">Cost</t>
  </si>
  <si>
    <t xml:space="preserve">Avg latency</t>
  </si>
  <si>
    <t xml:space="preserve">openai_responses</t>
  </si>
  <si>
    <t xml:space="preserve">Total</t>
  </si>
  <si>
    <t xml:space="preserve">Channel</t>
  </si>
  <si>
    <t xml:space="preserve">Current rows</t>
  </si>
  <si>
    <t xml:space="preserve">Allowed live</t>
  </si>
  <si>
    <t xml:space="preserve">State</t>
  </si>
  <si>
    <t xml:space="preserve">Consumer acknowledgment</t>
  </si>
  <si>
    <t xml:space="preserve">email</t>
  </si>
  <si>
    <t xml:space="preserve">Disabled</t>
  </si>
  <si>
    <t xml:space="preserve">QA test</t>
  </si>
  <si>
    <t xml:space="preserve">Sequence</t>
  </si>
  <si>
    <t xml:space="preserve">Instances</t>
  </si>
  <si>
    <t xml:space="preserve">Steps</t>
  </si>
  <si>
    <t xml:space="preserve">Live active</t>
  </si>
  <si>
    <t xml:space="preserve">All</t>
  </si>
  <si>
    <t xml:space="preserve">Rule</t>
  </si>
  <si>
    <t xml:space="preserve">Expected</t>
  </si>
  <si>
    <t xml:space="preserve">Actual</t>
  </si>
  <si>
    <t xml:space="preserve">QA excluded from KPI leads</t>
  </si>
  <si>
    <t xml:space="preserve">Unsuppressed QA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</si>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</sst>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F4CCC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A"/>
      <rgbColor rgb="FF878787"/>
      <rgbColor rgb="FF9999FF"/>
      <rgbColor rgb="FF993366"/>
      <rgbColor rgb="FFF4CC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Current verified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Dashboard'!B1</c:f>
              <c:strCache>
                <c:ptCount val="1"/>
                <c:pt idx="0">
                  <c:v>Verified value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Dashboard'!$A$2:$A$6</c:f>
              <c:strCache>
                <c:ptCount val="5"/>
                <c:pt idx="0">
                  <c:v>Genuine leads</c:v>
                </c:pt>
                <c:pt idx="1">
                  <c:v>Suppressed QA</c:v>
                </c:pt>
                <c:pt idx="2">
                  <c:v>QA in Active/New</c:v>
                </c:pt>
                <c:pt idx="3">
                  <c:v>Pending notifications</c:v>
                </c:pt>
                <c:pt idx="4">
                  <c:v>Live notification failures</c:v>
                </c:pt>
              </c:strCache>
            </c:strRef>
          </c:cat>
          <c:val>
            <c:numRef>
              <c:f>'Executive Dashboard'!$B$2:$B$6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7049664"/>
        <c:axId val="81654343"/>
      </c:barChart>
      <c:catAx>
        <c:axId val="4704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54343"/>
        <c:crosses val="autoZero"/>
        <c:auto val="1"/>
        <c:lblAlgn val="ctr"/>
        <c:lblOffset val="100"/>
        <c:noMultiLvlLbl val="0"/>
      </c:catAx>
      <c:valAx>
        <c:axId val="81654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04966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327600</xdr:colOff>
      <xdr:row>15</xdr:row>
      <xdr:rowOff>32760</xdr:rowOff>
    </xdr:to>
    <xdr:graphicFrame>
      <xdr:nvGraphicFramePr>
        <xdr:cNvPr id="1" name="Chart 1"/>
        <xdr:cNvGraphicFramePr/>
      </xdr:nvGraphicFramePr>
      <xdr:xfrm>
        <a:off x="7589520" y="35244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_UsageTbl" displayName="AI_UsageTbl" ref="A1:F3" headerRowCount="1" totalsRowCount="0" totalsRowShown="0">
  <autoFilter ref="A1:F3"/>
  <tableColumns count="6">
    <tableColumn id="1" name="Mode"/>
    <tableColumn id="2" name="Runs"/>
    <tableColumn id="3" name="Input tokens"/>
    <tableColumn id="4" name="Output tokens"/>
    <tableColumn id="5" name="Cost"/>
    <tableColumn id="6" name="Avg lat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ignment_SLATbl" displayName="Assignment_SLATbl" ref="A1:D3" headerRowCount="1" totalsRowCount="0" totalsRowShown="0">
  <autoFilter ref="A1:D3"/>
  <tableColumns count="4">
    <tableColumn id="1" name="Metric"/>
    <tableColumn id="2" name="Live due"/>
    <tableColumn id="3" name="QA excluded"/>
    <tableColumn id="4" name="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unication_PermissionsTbl" displayName="Communication_PermissionsTbl" ref="A1:E3" headerRowCount="1" totalsRowCount="0" totalsRowShown="0">
  <autoFilter ref="A1:E3"/>
  <tableColumns count="5">
    <tableColumn id="1" name="Purpose"/>
    <tableColumn id="2" name="Channel"/>
    <tableColumn id="3" name="Current rows"/>
    <tableColumn id="4" name="Allowed live"/>
    <tableColumn id="5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act_SLATbl" displayName="Contact_SLATbl" ref="A1:D2" headerRowCount="1" totalsRowCount="0" totalsRowShown="0">
  <autoFilter ref="A1:D2"/>
  <tableColumns count="4">
    <tableColumn id="1" name="Metric"/>
    <tableColumn id="2" name="Live count"/>
    <tableColumn id="3" name="Target"/>
    <tableColumn id="4" name="P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initions_12" displayName="Definitions_12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rmsTbl" displayName="FormsTbl" ref="A1:G8" headerRowCount="1" totalsRowCount="0" totalsRowShown="0">
  <autoFilter ref="A1:G8"/>
  <tableColumns count="7">
    <tableColumn id="1" name="Form"/>
    <tableColumn id="2" name="Purpose"/>
    <tableColumn id="3" name="WP active"/>
    <tableColumn id="4" name="Forwarding"/>
    <tableColumn id="5" name="Live leads"/>
    <tableColumn id="6" name="QA"/>
    <tableColumn id="7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unnelTbl" displayName="FunnelTbl" ref="A1:E5" headerRowCount="1" totalsRowCount="0" totalsRowShown="0">
  <autoFilter ref="A1:E5"/>
  <tableColumns count="5">
    <tableColumn id="1" name="Stage"/>
    <tableColumn id="2" name="Live"/>
    <tableColumn id="3" name="QA"/>
    <tableColumn id="4" name="KPI formula"/>
    <tableColumn id="5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essage_SequencesTbl" displayName="Message_SequencesTbl" ref="A1:E2" headerRowCount="1" totalsRowCount="0" totalsRowShown="0">
  <autoFilter ref="A1:E2"/>
  <tableColumns count="5">
    <tableColumn id="1" name="Sequence"/>
    <tableColumn id="2" name="Instances"/>
    <tableColumn id="3" name="Steps"/>
    <tableColumn id="4" name="Live active"/>
    <tableColumn id="5" name="St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NotificationsTbl" displayName="NotificationsTbl" ref="A1:E3" headerRowCount="1" totalsRowCount="0" totalsRowShown="0">
  <autoFilter ref="A1:E3"/>
  <tableColumns count="5">
    <tableColumn id="1" name="Class"/>
    <tableColumn id="2" name="Pending"/>
    <tableColumn id="3" name="Sent"/>
    <tableColumn id="4" name="Failed"/>
    <tableColumn id="5" name="Failure r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OperatingSources" displayName="OperatingSources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QA_ExclusionsTbl" displayName="QA_ExclusionsTbl" ref="A1:D3" headerRowCount="1" totalsRowCount="0" totalsRowShown="0">
  <autoFilter ref="A1:D3"/>
  <tableColumns count="4">
    <tableColumn id="1" name="Rule"/>
    <tableColumn id="2" name="Expected"/>
    <tableColumn id="3" name="Actual"/>
    <tableColumn id="4" name="Pas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ourcesTbl" displayName="SourcesTbl" ref="A1:E3" headerRowCount="1" totalsRowCount="0" totalsRowShown="0">
  <autoFilter ref="A1:E3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0.xml"/><Relationship Id="rId3" Type="http://schemas.openxmlformats.org/officeDocument/2006/relationships/table" Target="../tables/table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11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0</v>
      </c>
      <c r="C2" s="2" t="n">
        <f aca="false">B2</f>
        <v>0</v>
      </c>
      <c r="D2" s="2" t="s">
        <v>6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n">
        <v>6</v>
      </c>
      <c r="C3" s="2" t="n">
        <f aca="false">0</f>
        <v>0</v>
      </c>
      <c r="D3" s="2" t="s">
        <v>9</v>
      </c>
      <c r="E3" s="2" t="s">
        <v>7</v>
      </c>
    </row>
    <row r="4" customFormat="false" ht="15" hidden="false" customHeight="false" outlineLevel="0" collapsed="false">
      <c r="A4" s="2" t="s">
        <v>10</v>
      </c>
      <c r="B4" s="2" t="n">
        <v>0</v>
      </c>
      <c r="C4" s="2" t="n">
        <f aca="false">B4</f>
        <v>0</v>
      </c>
      <c r="D4" s="2" t="s">
        <v>6</v>
      </c>
      <c r="E4" s="2" t="s">
        <v>7</v>
      </c>
    </row>
    <row r="5" customFormat="false" ht="15" hidden="false" customHeight="false" outlineLevel="0" collapsed="false">
      <c r="A5" s="2" t="s">
        <v>11</v>
      </c>
      <c r="B5" s="2" t="n">
        <v>0</v>
      </c>
      <c r="C5" s="2" t="n">
        <f aca="false">B5</f>
        <v>0</v>
      </c>
      <c r="D5" s="2" t="s">
        <v>6</v>
      </c>
      <c r="E5" s="2" t="s">
        <v>7</v>
      </c>
    </row>
    <row r="6" customFormat="false" ht="15" hidden="false" customHeight="false" outlineLevel="0" collapsed="false">
      <c r="A6" s="2" t="s">
        <v>12</v>
      </c>
      <c r="B6" s="2" t="n">
        <v>0</v>
      </c>
      <c r="C6" s="2" t="n">
        <f aca="false">B6</f>
        <v>0</v>
      </c>
      <c r="D6" s="2" t="s">
        <v>6</v>
      </c>
      <c r="E6" s="2" t="s">
        <v>7</v>
      </c>
    </row>
    <row r="7" customFormat="false" ht="15" hidden="false" customHeight="false" outlineLevel="0" collapsed="false">
      <c r="A7" s="2" t="s">
        <v>13</v>
      </c>
      <c r="B7" s="2" t="n">
        <v>0</v>
      </c>
      <c r="C7" s="2" t="n">
        <f aca="false">B7</f>
        <v>0</v>
      </c>
      <c r="D7" s="2" t="s">
        <v>6</v>
      </c>
      <c r="E7" s="2" t="s">
        <v>7</v>
      </c>
    </row>
    <row r="9" customFormat="false" ht="15" hidden="false" customHeight="false" outlineLevel="0" collapsed="false">
      <c r="A9" s="0" t="s">
        <v>14</v>
      </c>
      <c r="B9" s="0" t="str">
        <f aca="false">IF(C3=0,"PASS","FAIL")</f>
        <v>PASS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3</v>
      </c>
    </row>
    <row r="2" customFormat="false" ht="15" hidden="false" customHeight="false" outlineLevel="0" collapsed="false">
      <c r="A2" s="2" t="s">
        <v>19</v>
      </c>
      <c r="B2" s="2" t="n">
        <v>0</v>
      </c>
      <c r="C2" s="2" t="n">
        <v>6</v>
      </c>
      <c r="D2" s="2" t="n">
        <f aca="false">B2</f>
        <v>0</v>
      </c>
      <c r="E2" s="2" t="s">
        <v>6</v>
      </c>
    </row>
    <row r="3" customFormat="false" ht="15" hidden="false" customHeight="false" outlineLevel="0" collapsed="false">
      <c r="A3" s="2" t="s">
        <v>20</v>
      </c>
      <c r="B3" s="2" t="n">
        <v>0</v>
      </c>
      <c r="C3" s="2" t="n">
        <v>0</v>
      </c>
      <c r="D3" s="2" t="n">
        <f aca="false">B3</f>
        <v>0</v>
      </c>
      <c r="E3" s="2" t="s">
        <v>6</v>
      </c>
    </row>
    <row r="4" customFormat="false" ht="15" hidden="false" customHeight="false" outlineLevel="0" collapsed="false">
      <c r="A4" s="2" t="s">
        <v>21</v>
      </c>
      <c r="B4" s="2" t="n">
        <v>0</v>
      </c>
      <c r="C4" s="2" t="n">
        <v>0</v>
      </c>
      <c r="D4" s="2" t="n">
        <f aca="false">B4</f>
        <v>0</v>
      </c>
      <c r="E4" s="2" t="s">
        <v>6</v>
      </c>
    </row>
    <row r="5" customFormat="false" ht="15" hidden="false" customHeight="false" outlineLevel="0" collapsed="false">
      <c r="A5" s="2" t="s">
        <v>22</v>
      </c>
      <c r="B5" s="2" t="n">
        <v>0</v>
      </c>
      <c r="C5" s="2" t="n">
        <v>0</v>
      </c>
      <c r="D5" s="2" t="n">
        <f aca="false">B5</f>
        <v>0</v>
      </c>
      <c r="E5" s="2" t="s">
        <v>6</v>
      </c>
    </row>
  </sheetData>
  <autoFilter ref="A1:E5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23</v>
      </c>
      <c r="B1" s="1" t="s">
        <v>24</v>
      </c>
      <c r="C1" s="1" t="s">
        <v>4</v>
      </c>
      <c r="D1" s="1" t="s">
        <v>25</v>
      </c>
      <c r="E1" s="1" t="s">
        <v>3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6</v>
      </c>
    </row>
    <row r="3" customFormat="false" ht="15" hidden="false" customHeight="false" outlineLevel="0" collapsed="false">
      <c r="A3" s="2" t="s">
        <v>30</v>
      </c>
      <c r="B3" s="2" t="s">
        <v>27</v>
      </c>
      <c r="C3" s="2" t="s">
        <v>31</v>
      </c>
      <c r="D3" s="2" t="s">
        <v>32</v>
      </c>
      <c r="E3" s="2" t="s">
        <v>6</v>
      </c>
    </row>
    <row r="4" customFormat="false" ht="15" hidden="false" customHeight="false" outlineLevel="0" collapsed="false">
      <c r="A4" s="2" t="s">
        <v>7</v>
      </c>
      <c r="B4" s="2" t="s">
        <v>27</v>
      </c>
      <c r="C4" s="2" t="s">
        <v>33</v>
      </c>
      <c r="D4" s="2" t="s">
        <v>34</v>
      </c>
      <c r="E4" s="2" t="s">
        <v>6</v>
      </c>
    </row>
    <row r="5" customFormat="false" ht="15" hidden="false" customHeight="false" outlineLevel="0" collapsed="false">
      <c r="A5" s="2" t="s">
        <v>35</v>
      </c>
      <c r="B5" s="2" t="s">
        <v>27</v>
      </c>
      <c r="C5" s="2" t="s">
        <v>36</v>
      </c>
      <c r="D5" s="2" t="s">
        <v>37</v>
      </c>
      <c r="E5" s="2" t="s">
        <v>6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41</v>
      </c>
      <c r="E6" s="2" t="s">
        <v>9</v>
      </c>
    </row>
    <row r="7" customFormat="false" ht="23.85" hidden="false" customHeight="false" outlineLevel="0" collapsed="false">
      <c r="A7" s="2" t="s">
        <v>42</v>
      </c>
      <c r="B7" s="2" t="s">
        <v>27</v>
      </c>
      <c r="C7" s="2" t="s">
        <v>43</v>
      </c>
      <c r="D7" s="2" t="s">
        <v>44</v>
      </c>
      <c r="E7" s="2" t="s">
        <v>45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5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17</v>
      </c>
      <c r="G1" s="1" t="s">
        <v>3</v>
      </c>
    </row>
    <row r="2" customFormat="false" ht="15" hidden="false" customHeight="false" outlineLevel="0" collapsed="false">
      <c r="A2" s="2" t="n">
        <v>1</v>
      </c>
      <c r="B2" s="2" t="s">
        <v>51</v>
      </c>
      <c r="C2" s="3" t="b">
        <f aca="false">TRUE()</f>
        <v>1</v>
      </c>
      <c r="D2" s="2" t="s">
        <v>52</v>
      </c>
      <c r="E2" s="2" t="n">
        <v>0</v>
      </c>
      <c r="F2" s="2" t="n">
        <v>0</v>
      </c>
      <c r="G2" s="2" t="s">
        <v>53</v>
      </c>
    </row>
    <row r="3" customFormat="false" ht="15" hidden="false" customHeight="false" outlineLevel="0" collapsed="false">
      <c r="A3" s="2" t="n">
        <v>2</v>
      </c>
      <c r="B3" s="2" t="s">
        <v>54</v>
      </c>
      <c r="C3" s="3" t="b">
        <f aca="false">TRUE()</f>
        <v>1</v>
      </c>
      <c r="D3" s="2" t="s">
        <v>52</v>
      </c>
      <c r="E3" s="2" t="n">
        <v>0</v>
      </c>
      <c r="F3" s="2" t="n">
        <v>0</v>
      </c>
      <c r="G3" s="2" t="s">
        <v>53</v>
      </c>
    </row>
    <row r="4" customFormat="false" ht="15" hidden="false" customHeight="false" outlineLevel="0" collapsed="false">
      <c r="A4" s="2" t="n">
        <v>3</v>
      </c>
      <c r="B4" s="2" t="s">
        <v>55</v>
      </c>
      <c r="C4" s="3" t="b">
        <f aca="false">TRUE()</f>
        <v>1</v>
      </c>
      <c r="D4" s="2" t="s">
        <v>56</v>
      </c>
      <c r="E4" s="2" t="n">
        <v>0</v>
      </c>
      <c r="F4" s="2" t="n">
        <v>1</v>
      </c>
      <c r="G4" s="2" t="s">
        <v>6</v>
      </c>
    </row>
    <row r="5" customFormat="false" ht="15" hidden="false" customHeight="false" outlineLevel="0" collapsed="false">
      <c r="A5" s="2" t="n">
        <v>4</v>
      </c>
      <c r="B5" s="2" t="s">
        <v>57</v>
      </c>
      <c r="C5" s="3" t="b">
        <f aca="false">TRUE()</f>
        <v>1</v>
      </c>
      <c r="D5" s="2" t="s">
        <v>58</v>
      </c>
      <c r="E5" s="2" t="n">
        <v>0</v>
      </c>
      <c r="F5" s="2" t="n">
        <v>0</v>
      </c>
      <c r="G5" s="2" t="s">
        <v>53</v>
      </c>
    </row>
    <row r="6" customFormat="false" ht="15" hidden="false" customHeight="false" outlineLevel="0" collapsed="false">
      <c r="A6" s="2" t="n">
        <v>5</v>
      </c>
      <c r="B6" s="2" t="s">
        <v>59</v>
      </c>
      <c r="C6" s="3" t="b">
        <f aca="false">TRUE()</f>
        <v>1</v>
      </c>
      <c r="D6" s="2" t="s">
        <v>52</v>
      </c>
      <c r="E6" s="2" t="n">
        <v>0</v>
      </c>
      <c r="F6" s="2" t="n">
        <v>0</v>
      </c>
      <c r="G6" s="2" t="s">
        <v>53</v>
      </c>
    </row>
    <row r="7" customFormat="false" ht="15" hidden="false" customHeight="false" outlineLevel="0" collapsed="false">
      <c r="A7" s="2" t="n">
        <v>6</v>
      </c>
      <c r="B7" s="2" t="s">
        <v>60</v>
      </c>
      <c r="C7" s="3" t="b">
        <f aca="false">TRUE()</f>
        <v>1</v>
      </c>
      <c r="D7" s="2" t="s">
        <v>52</v>
      </c>
      <c r="E7" s="2" t="n">
        <v>0</v>
      </c>
      <c r="F7" s="2" t="n">
        <v>0</v>
      </c>
      <c r="G7" s="2" t="s">
        <v>53</v>
      </c>
    </row>
    <row r="8" customFormat="false" ht="15" hidden="false" customHeight="false" outlineLevel="0" collapsed="false">
      <c r="A8" s="2" t="n">
        <v>7</v>
      </c>
      <c r="B8" s="2" t="s">
        <v>61</v>
      </c>
      <c r="C8" s="3" t="b">
        <f aca="false">TRUE()</f>
        <v>1</v>
      </c>
      <c r="D8" s="2" t="s">
        <v>62</v>
      </c>
      <c r="E8" s="2" t="n">
        <v>0</v>
      </c>
      <c r="F8" s="2" t="n">
        <v>0</v>
      </c>
      <c r="G8" s="2" t="s">
        <v>53</v>
      </c>
    </row>
  </sheetData>
  <autoFilter ref="A1:G8"/>
  <conditionalFormatting sqref="G2:G500">
    <cfRule type="expression" priority="2" aboveAverage="0" equalAverage="0" bottom="0" percent="0" rank="0" text="" dxfId="5">
      <formula>OR(G2="Disabled",G2="Operational Risk")</formula>
    </cfRule>
    <cfRule type="expression" priority="3" aboveAverage="0" equalAverage="0" bottom="0" percent="0" rank="0" text="" dxfId="6">
      <formula>OR(G2="Verified Live",G2="Verified Test")</formula>
    </cfRule>
  </conditionalFormatting>
  <dataValidations count="1">
    <dataValidation allowBlank="true" errorStyle="stop" operator="between" showDropDown="false" showErrorMessage="false" showInputMessage="false" sqref="G2:G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9"/>
  </cols>
  <sheetData>
    <row r="1" customFormat="false" ht="27.75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</row>
    <row r="2" customFormat="false" ht="15" hidden="false" customHeight="false" outlineLevel="0" collapsed="false">
      <c r="A2" s="2" t="s">
        <v>67</v>
      </c>
      <c r="B2" s="2" t="n">
        <v>0</v>
      </c>
      <c r="C2" s="2" t="n">
        <v>6</v>
      </c>
      <c r="D2" s="2" t="n">
        <f aca="false">IFERROR(B2/B3,0)</f>
        <v>0</v>
      </c>
    </row>
    <row r="3" customFormat="false" ht="15" hidden="false" customHeight="false" outlineLevel="0" collapsed="false">
      <c r="A3" s="2" t="s">
        <v>68</v>
      </c>
      <c r="B3" s="2" t="n">
        <v>0</v>
      </c>
      <c r="C3" s="2" t="n">
        <v>6</v>
      </c>
      <c r="D3" s="2" t="n">
        <f aca="false">IFERROR(B3/B2,0)</f>
        <v>0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63</v>
      </c>
      <c r="B1" s="1" t="s">
        <v>69</v>
      </c>
      <c r="C1" s="1" t="s">
        <v>70</v>
      </c>
      <c r="D1" s="1" t="s">
        <v>71</v>
      </c>
    </row>
    <row r="2" customFormat="false" ht="15" hidden="false" customHeight="false" outlineLevel="0" collapsed="false">
      <c r="A2" s="2" t="s">
        <v>72</v>
      </c>
      <c r="B2" s="2" t="n">
        <v>0</v>
      </c>
      <c r="C2" s="2" t="n">
        <v>15</v>
      </c>
      <c r="D2" s="2" t="str">
        <f aca="false">IF(B2=0,"NO LIVE DATA",IF(B2&lt;=C2,"PASS","FAIL"))</f>
        <v>NO LIVE DATA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1"/>
    <col collapsed="false" customWidth="true" hidden="false" outlineLevel="0" max="5" min="5" style="0" width="27"/>
  </cols>
  <sheetData>
    <row r="1" customFormat="false" ht="27.75" hidden="false" customHeight="true" outlineLevel="0" collapsed="false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</row>
    <row r="2" customFormat="false" ht="15" hidden="false" customHeight="false" outlineLevel="0" collapsed="false">
      <c r="A2" s="2" t="s">
        <v>16</v>
      </c>
      <c r="B2" s="2" t="n">
        <v>0</v>
      </c>
      <c r="C2" s="2" t="n">
        <v>0</v>
      </c>
      <c r="D2" s="2" t="n">
        <v>0</v>
      </c>
      <c r="E2" s="2" t="n">
        <f aca="false">IFERROR(D2/SUM(B2:D2),0)</f>
        <v>0</v>
      </c>
    </row>
    <row r="3" customFormat="false" ht="15" hidden="false" customHeight="false" outlineLevel="0" collapsed="false">
      <c r="A3" s="2" t="s">
        <v>8</v>
      </c>
      <c r="B3" s="2" t="n">
        <v>0</v>
      </c>
      <c r="C3" s="2" t="n">
        <v>4</v>
      </c>
      <c r="D3" s="2" t="n">
        <v>2</v>
      </c>
      <c r="E3" s="2" t="n">
        <f aca="false">IFERROR(D3/SUM(B3:D3),0)</f>
        <v>0.333333333333333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27.75" hidden="false" customHeight="tru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customFormat="false" ht="15" hidden="false" customHeight="false" outlineLevel="0" collapsed="false">
      <c r="A2" s="2" t="s">
        <v>83</v>
      </c>
      <c r="B2" s="2" t="n">
        <v>1</v>
      </c>
      <c r="C2" s="2" t="n">
        <v>835</v>
      </c>
      <c r="D2" s="2" t="n">
        <v>964</v>
      </c>
      <c r="E2" s="2" t="n">
        <v>0.006619</v>
      </c>
      <c r="F2" s="2" t="n">
        <v>7624</v>
      </c>
    </row>
    <row r="3" customFormat="false" ht="15" hidden="false" customHeight="false" outlineLevel="0" collapsed="false">
      <c r="A3" s="2" t="s">
        <v>84</v>
      </c>
      <c r="B3" s="2" t="n">
        <f aca="false">SUM(B2)</f>
        <v>1</v>
      </c>
      <c r="C3" s="2" t="n">
        <f aca="false">SUM(C2)</f>
        <v>835</v>
      </c>
      <c r="D3" s="2" t="n">
        <f aca="false">SUM(D2)</f>
        <v>964</v>
      </c>
      <c r="E3" s="2" t="n">
        <f aca="false">SUM(E2)</f>
        <v>0.006619</v>
      </c>
      <c r="F3" s="2" t="n">
        <f aca="false">AVERAGE(F2)</f>
        <v>7624</v>
      </c>
    </row>
  </sheetData>
  <autoFilter ref="A1:F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15"/>
  </cols>
  <sheetData>
    <row r="1" customFormat="false" ht="27.75" hidden="false" customHeight="true" outlineLevel="0" collapsed="false">
      <c r="A1" s="1" t="s">
        <v>47</v>
      </c>
      <c r="B1" s="1" t="s">
        <v>85</v>
      </c>
      <c r="C1" s="1" t="s">
        <v>86</v>
      </c>
      <c r="D1" s="1" t="s">
        <v>87</v>
      </c>
      <c r="E1" s="1" t="s">
        <v>88</v>
      </c>
    </row>
    <row r="2" customFormat="false" ht="15" hidden="false" customHeight="false" outlineLevel="0" collapsed="false">
      <c r="A2" s="2" t="s">
        <v>89</v>
      </c>
      <c r="B2" s="2" t="s">
        <v>90</v>
      </c>
      <c r="C2" s="2" t="n">
        <v>0</v>
      </c>
      <c r="D2" s="2" t="n">
        <v>0</v>
      </c>
      <c r="E2" s="2" t="s">
        <v>91</v>
      </c>
    </row>
    <row r="3" customFormat="false" ht="15" hidden="false" customHeight="false" outlineLevel="0" collapsed="false">
      <c r="A3" s="2" t="s">
        <v>92</v>
      </c>
      <c r="B3" s="2" t="s">
        <v>90</v>
      </c>
      <c r="C3" s="2" t="n">
        <v>0</v>
      </c>
      <c r="D3" s="2" t="n">
        <v>0</v>
      </c>
      <c r="E3" s="2" t="s">
        <v>9</v>
      </c>
    </row>
  </sheetData>
  <autoFilter ref="A1:E3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11"/>
  </cols>
  <sheetData>
    <row r="1" customFormat="false" ht="27.75" hidden="false" customHeight="true" outlineLevel="0" collapsed="false">
      <c r="A1" s="1" t="s">
        <v>93</v>
      </c>
      <c r="B1" s="1" t="s">
        <v>94</v>
      </c>
      <c r="C1" s="1" t="s">
        <v>95</v>
      </c>
      <c r="D1" s="1" t="s">
        <v>96</v>
      </c>
      <c r="E1" s="1" t="s">
        <v>88</v>
      </c>
    </row>
    <row r="2" customFormat="false" ht="15" hidden="false" customHeight="false" outlineLevel="0" collapsed="false">
      <c r="A2" s="2" t="s">
        <v>97</v>
      </c>
      <c r="B2" s="2" t="n">
        <v>0</v>
      </c>
      <c r="C2" s="2" t="n">
        <v>0</v>
      </c>
      <c r="D2" s="2" t="n">
        <v>0</v>
      </c>
      <c r="E2" s="2" t="s">
        <v>91</v>
      </c>
    </row>
  </sheetData>
  <autoFilter ref="A1:E2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1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1" t="s">
        <v>98</v>
      </c>
      <c r="B1" s="1" t="s">
        <v>99</v>
      </c>
      <c r="C1" s="1" t="s">
        <v>100</v>
      </c>
      <c r="D1" s="1" t="s">
        <v>71</v>
      </c>
    </row>
    <row r="2" customFormat="false" ht="15" hidden="false" customHeight="false" outlineLevel="0" collapsed="false">
      <c r="A2" s="2" t="s">
        <v>101</v>
      </c>
      <c r="B2" s="2" t="n">
        <v>0</v>
      </c>
      <c r="C2" s="2" t="n">
        <v>0</v>
      </c>
      <c r="D2" s="2" t="str">
        <f aca="false">IF(B2=C2,"PASS","FAIL")</f>
        <v>PASS</v>
      </c>
    </row>
    <row r="3" customFormat="false" ht="15" hidden="false" customHeight="false" outlineLevel="0" collapsed="false">
      <c r="A3" s="2" t="s">
        <v>102</v>
      </c>
      <c r="B3" s="2" t="n">
        <v>0</v>
      </c>
      <c r="C3" s="2" t="n">
        <v>0</v>
      </c>
      <c r="D3" s="2" t="str">
        <f aca="false">IF(B3=C3,"PASS","FAIL")</f>
        <v>PASS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103</v>
      </c>
      <c r="B1" s="1" t="s">
        <v>104</v>
      </c>
      <c r="C1" s="1" t="s">
        <v>105</v>
      </c>
    </row>
    <row r="2" customFormat="false" ht="15" hidden="false" customHeight="false" outlineLevel="0" collapsed="false">
      <c r="A2" s="2" t="s">
        <v>106</v>
      </c>
      <c r="B2" s="2" t="s">
        <v>107</v>
      </c>
      <c r="C2" s="2" t="s">
        <v>108</v>
      </c>
    </row>
    <row r="3" customFormat="false" ht="23.85" hidden="false" customHeight="false" outlineLevel="0" collapsed="false">
      <c r="A3" s="2" t="s">
        <v>8</v>
      </c>
      <c r="B3" s="2" t="s">
        <v>109</v>
      </c>
      <c r="C3" s="2" t="s">
        <v>110</v>
      </c>
    </row>
    <row r="4" customFormat="false" ht="15" hidden="false" customHeight="false" outlineLevel="0" collapsed="false">
      <c r="A4" s="2" t="s">
        <v>111</v>
      </c>
      <c r="B4" s="2" t="s">
        <v>112</v>
      </c>
      <c r="C4" s="2" t="s">
        <v>113</v>
      </c>
    </row>
    <row r="5" customFormat="false" ht="15" hidden="false" customHeight="false" outlineLevel="0" collapsed="false">
      <c r="A5" s="2" t="s">
        <v>6</v>
      </c>
      <c r="B5" s="2" t="s">
        <v>114</v>
      </c>
      <c r="C5" s="2" t="s">
        <v>115</v>
      </c>
    </row>
    <row r="6" customFormat="false" ht="23.85" hidden="false" customHeight="false" outlineLevel="0" collapsed="false">
      <c r="A6" s="2" t="s">
        <v>9</v>
      </c>
      <c r="B6" s="2" t="s">
        <v>116</v>
      </c>
      <c r="C6" s="2" t="s">
        <v>117</v>
      </c>
    </row>
    <row r="7" customFormat="false" ht="15" hidden="false" customHeight="false" outlineLevel="0" collapsed="false">
      <c r="A7" s="2" t="s">
        <v>118</v>
      </c>
      <c r="B7" s="2" t="s">
        <v>119</v>
      </c>
      <c r="C7" s="2" t="s">
        <v>120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ASK MAGIC MIKE OPERATING SCOREBOARD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