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ermission Matrix" sheetId="2" state="visible" r:id="rId4"/>
    <sheet name="Definitions" sheetId="3" state="visible" r:id="rId5"/>
    <sheet name="Sources" sheetId="4" state="visible" r:id="rId6"/>
  </sheets>
  <definedNames>
    <definedName function="false" hidden="true" localSheetId="2" name="_xlnm._FilterDatabase" vbProcedure="false">Definitions!$A$1:$C$7</definedName>
    <definedName function="false" hidden="true" localSheetId="1" name="_xlnm._FilterDatabase" vbProcedure="false">'Permission Matrix'!$A$1:$M$5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<sst xmlns="http://schemas.openxmlformats.org/spreadsheetml/2006/main" count="102" uniqueCount="85">
  <si>
    <t xml:space="preserve">COMMUNICATION PERMISSION MATRIX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</si>
  <si>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</si>
  <si>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</si>
  <si>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</si>
  <si>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</si>
  <si>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Lead type</t>
  </si>
  <si>
    <t xml:space="preserve">Channel</t>
  </si>
  <si>
    <t xml:space="preserve">Purpose</t>
  </si>
  <si>
    <t xml:space="preserve">Consent state</t>
  </si>
  <si>
    <t xml:space="preserve">Test</t>
  </si>
  <si>
    <t xml:space="preserve">Suppression</t>
  </si>
  <si>
    <t xml:space="preserve">Legal hold</t>
  </si>
  <si>
    <t xml:space="preserve">BIC hold</t>
  </si>
  <si>
    <t xml:space="preserve">Allowed</t>
  </si>
  <si>
    <t xml:space="preserve">Reason</t>
  </si>
  <si>
    <t xml:space="preserve">Manual review</t>
  </si>
  <si>
    <t xml:space="preserve">Audit event</t>
  </si>
  <si>
    <t xml:space="preserve">Status</t>
  </si>
  <si>
    <t xml:space="preserve">all</t>
  </si>
  <si>
    <t xml:space="preserve">email</t>
  </si>
  <si>
    <t xml:space="preserve">internal_alert</t>
  </si>
  <si>
    <t xml:space="preserve">operational</t>
  </si>
  <si>
    <t xml:space="preserve">approved internal route</t>
  </si>
  <si>
    <t xml:space="preserve">communication_decision</t>
  </si>
  <si>
    <t xml:space="preserve">Code Complete</t>
  </si>
  <si>
    <t xml:space="preserve">home_value</t>
  </si>
  <si>
    <t xml:space="preserve">transactional_acknowledgment</t>
  </si>
  <si>
    <t xml:space="preserve">ambiguous</t>
  </si>
  <si>
    <t xml:space="preserve">ambiguity fails closed</t>
  </si>
  <si>
    <t xml:space="preserve">permission_blocked</t>
  </si>
  <si>
    <t xml:space="preserve">Disabled</t>
  </si>
  <si>
    <t xml:space="preserve">qa_test</t>
  </si>
  <si>
    <t xml:space="preserve">qa_allowlist</t>
  </si>
  <si>
    <t xml:space="preserve">test + suppressed + exact recipient</t>
  </si>
  <si>
    <t xml:space="preserve">qa_decision</t>
  </si>
  <si>
    <t xml:space="preserve">Verified Test</t>
  </si>
  <si>
    <t xml:space="preserve">sms</t>
  </si>
  <si>
    <t xml:space="preserve">marketing_nurture</t>
  </si>
  <si>
    <t xml:space="preserve">unknown</t>
  </si>
  <si>
    <t xml:space="preserve">carrier SMS disabled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</si>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</sst>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missionMatrixData" displayName="PermissionMatrixData" ref="A1:M5" headerRowCount="1" totalsRowCount="0" totalsRowShown="0">
  <autoFilter ref="A1:M5"/>
  <tableColumns count="13">
    <tableColumn id="1" name="Lead type"/>
    <tableColumn id="2" name="Channel"/>
    <tableColumn id="3" name="Purpose"/>
    <tableColumn id="4" name="Consent state"/>
    <tableColumn id="5" name="Test"/>
    <tableColumn id="6" name="Suppression"/>
    <tableColumn id="7" name="Legal hold"/>
    <tableColumn id="8" name="BIC hold"/>
    <tableColumn id="9" name="Allowed"/>
    <tableColumn id="10" name="Reason"/>
    <tableColumn id="11" name="Manual review"/>
    <tableColumn id="12" name="Audit event"/>
    <tableColumn id="13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COUNTA('Permission Matrix'!A2:A500)</f>
        <v>4</v>
      </c>
    </row>
    <row r="3" customFormat="false" ht="15" hidden="false" customHeight="false" outlineLevel="0" collapsed="false">
      <c r="A3" s="2" t="s">
        <v>3</v>
      </c>
      <c r="B3" s="2" t="n">
        <f aca="false">COUNTIF('Permission Matrix'!A2:M500,"Verified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COUNTIF('Permission Matrix'!A2:M500,"Disabled")+COUNTIF('Permission Matrix'!A2:M500,"Held")</f>
        <v>2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37"/>
    <col collapsed="false" customWidth="true" hidden="false" outlineLevel="0" max="11" min="11" style="0" width="15"/>
    <col collapsed="false" customWidth="true" hidden="false" outlineLevel="0" max="12" min="12" style="0" width="24"/>
    <col collapsed="false" customWidth="true" hidden="false" outlineLevel="0" max="13" min="13" style="0" width="15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3" t="b">
        <f aca="false">FALSE()</f>
        <v>0</v>
      </c>
      <c r="F2" s="3" t="b">
        <f aca="false">FALSE()</f>
        <v>0</v>
      </c>
      <c r="G2" s="3" t="b">
        <f aca="false">FALSE()</f>
        <v>0</v>
      </c>
      <c r="H2" s="3" t="b">
        <f aca="false">FALSE()</f>
        <v>0</v>
      </c>
      <c r="I2" s="3" t="b">
        <f aca="false">TRUE()</f>
        <v>1</v>
      </c>
      <c r="J2" s="2" t="s">
        <v>22</v>
      </c>
      <c r="K2" s="3" t="b">
        <f aca="false">FALSE()</f>
        <v>0</v>
      </c>
      <c r="L2" s="2" t="s">
        <v>23</v>
      </c>
      <c r="M2" s="2" t="s">
        <v>24</v>
      </c>
    </row>
    <row r="3" customFormat="false" ht="15" hidden="false" customHeight="false" outlineLevel="0" collapsed="false">
      <c r="A3" s="2" t="s">
        <v>25</v>
      </c>
      <c r="B3" s="2" t="s">
        <v>19</v>
      </c>
      <c r="C3" s="2" t="s">
        <v>26</v>
      </c>
      <c r="D3" s="2" t="s">
        <v>27</v>
      </c>
      <c r="E3" s="3" t="b">
        <f aca="false">FALSE()</f>
        <v>0</v>
      </c>
      <c r="F3" s="3" t="b">
        <f aca="false">FALSE()</f>
        <v>0</v>
      </c>
      <c r="G3" s="3" t="b">
        <f aca="false">FALSE()</f>
        <v>0</v>
      </c>
      <c r="H3" s="3" t="b">
        <f aca="false">FALSE()</f>
        <v>0</v>
      </c>
      <c r="I3" s="3" t="b">
        <f aca="false">FALSE()</f>
        <v>0</v>
      </c>
      <c r="J3" s="2" t="s">
        <v>28</v>
      </c>
      <c r="K3" s="3" t="b">
        <f aca="false">TRUE()</f>
        <v>1</v>
      </c>
      <c r="L3" s="2" t="s">
        <v>29</v>
      </c>
      <c r="M3" s="2" t="s">
        <v>30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31</v>
      </c>
      <c r="D4" s="2" t="s">
        <v>32</v>
      </c>
      <c r="E4" s="3" t="b">
        <f aca="false">TRUE()</f>
        <v>1</v>
      </c>
      <c r="F4" s="3" t="b">
        <f aca="false">TRUE()</f>
        <v>1</v>
      </c>
      <c r="G4" s="3" t="b">
        <f aca="false">FALSE()</f>
        <v>0</v>
      </c>
      <c r="H4" s="3" t="b">
        <f aca="false">FALSE()</f>
        <v>0</v>
      </c>
      <c r="I4" s="3" t="b">
        <f aca="false">TRUE()</f>
        <v>1</v>
      </c>
      <c r="J4" s="2" t="s">
        <v>33</v>
      </c>
      <c r="K4" s="3" t="b">
        <f aca="false">FALSE()</f>
        <v>0</v>
      </c>
      <c r="L4" s="2" t="s">
        <v>34</v>
      </c>
      <c r="M4" s="2" t="s">
        <v>35</v>
      </c>
    </row>
    <row r="5" customFormat="false" ht="15" hidden="false" customHeight="false" outlineLevel="0" collapsed="false">
      <c r="A5" s="2" t="s">
        <v>18</v>
      </c>
      <c r="B5" s="2" t="s">
        <v>36</v>
      </c>
      <c r="C5" s="2" t="s">
        <v>37</v>
      </c>
      <c r="D5" s="2" t="s">
        <v>38</v>
      </c>
      <c r="E5" s="3" t="b">
        <f aca="false">FALSE()</f>
        <v>0</v>
      </c>
      <c r="F5" s="3" t="b">
        <f aca="false">FALSE()</f>
        <v>0</v>
      </c>
      <c r="G5" s="3" t="b">
        <f aca="false">FALSE()</f>
        <v>0</v>
      </c>
      <c r="H5" s="3" t="b">
        <f aca="false">FALSE()</f>
        <v>0</v>
      </c>
      <c r="I5" s="3" t="b">
        <f aca="false">FALSE()</f>
        <v>0</v>
      </c>
      <c r="J5" s="2" t="s">
        <v>39</v>
      </c>
      <c r="K5" s="3" t="b">
        <f aca="false">TRUE()</f>
        <v>1</v>
      </c>
      <c r="L5" s="2" t="s">
        <v>29</v>
      </c>
      <c r="M5" s="2" t="s">
        <v>30</v>
      </c>
    </row>
  </sheetData>
  <autoFilter ref="A1:M5"/>
  <conditionalFormatting sqref="M2:M500">
    <cfRule type="expression" priority="2" aboveAverage="0" equalAverage="0" bottom="0" percent="0" rank="0" text="" dxfId="6">
      <formula>OR(M2="Disabled",M2="Operational Risk")</formula>
    </cfRule>
    <cfRule type="expression" priority="3" aboveAverage="0" equalAverage="0" bottom="0" percent="0" rank="0" text="" dxfId="7">
      <formula>OR(M2="Verified Live",M2="Verified Test")</formula>
    </cfRule>
  </conditionalFormatting>
  <dataValidations count="1">
    <dataValidation allowBlank="true" errorStyle="stop" operator="between" showDropDown="false" showErrorMessage="false" showInputMessage="false" sqref="M2:M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40</v>
      </c>
      <c r="B1" s="1" t="s">
        <v>41</v>
      </c>
      <c r="C1" s="1" t="s">
        <v>42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45</v>
      </c>
    </row>
    <row r="3" customFormat="false" ht="23.85" hidden="false" customHeight="false" outlineLevel="0" collapsed="false">
      <c r="A3" s="2" t="s">
        <v>46</v>
      </c>
      <c r="B3" s="2" t="s">
        <v>47</v>
      </c>
      <c r="C3" s="2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</row>
    <row r="5" customFormat="false" ht="15" hidden="false" customHeight="false" outlineLevel="0" collapsed="false">
      <c r="A5" s="2" t="s">
        <v>52</v>
      </c>
      <c r="B5" s="2" t="s">
        <v>53</v>
      </c>
      <c r="C5" s="2" t="s">
        <v>54</v>
      </c>
    </row>
    <row r="6" customFormat="false" ht="23.85" hidden="false" customHeight="false" outlineLevel="0" collapsed="false">
      <c r="A6" s="2" t="s">
        <v>35</v>
      </c>
      <c r="B6" s="2" t="s">
        <v>55</v>
      </c>
      <c r="C6" s="2" t="s">
        <v>56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17</v>
      </c>
    </row>
    <row r="2" customFormat="false" ht="15" hidden="false" customHeight="false" outlineLevel="0" collapsed="false">
      <c r="A2" s="2" t="s">
        <v>64</v>
      </c>
      <c r="B2" s="2" t="s">
        <v>65</v>
      </c>
      <c r="C2" s="2" t="s">
        <v>66</v>
      </c>
      <c r="D2" s="2" t="s">
        <v>67</v>
      </c>
      <c r="E2" s="2" t="s">
        <v>52</v>
      </c>
    </row>
    <row r="3" customFormat="false" ht="15" hidden="false" customHeight="false" outlineLevel="0" collapsed="false">
      <c r="A3" s="2" t="s">
        <v>68</v>
      </c>
      <c r="B3" s="2" t="s">
        <v>65</v>
      </c>
      <c r="C3" s="2" t="s">
        <v>69</v>
      </c>
      <c r="D3" s="2" t="s">
        <v>70</v>
      </c>
      <c r="E3" s="2" t="s">
        <v>52</v>
      </c>
    </row>
    <row r="4" customFormat="false" ht="15" hidden="false" customHeight="false" outlineLevel="0" collapsed="false">
      <c r="A4" s="2" t="s">
        <v>71</v>
      </c>
      <c r="B4" s="2" t="s">
        <v>65</v>
      </c>
      <c r="C4" s="2" t="s">
        <v>72</v>
      </c>
      <c r="D4" s="2" t="s">
        <v>73</v>
      </c>
      <c r="E4" s="2" t="s">
        <v>52</v>
      </c>
    </row>
    <row r="5" customFormat="false" ht="15" hidden="false" customHeight="false" outlineLevel="0" collapsed="false">
      <c r="A5" s="2" t="s">
        <v>74</v>
      </c>
      <c r="B5" s="2" t="s">
        <v>65</v>
      </c>
      <c r="C5" s="2" t="s">
        <v>75</v>
      </c>
      <c r="D5" s="2" t="s">
        <v>76</v>
      </c>
      <c r="E5" s="2" t="s">
        <v>52</v>
      </c>
    </row>
    <row r="6" customFormat="false" ht="15" hidden="false" customHeight="false" outlineLevel="0" collapsed="false">
      <c r="A6" s="2" t="s">
        <v>77</v>
      </c>
      <c r="B6" s="2" t="s">
        <v>78</v>
      </c>
      <c r="C6" s="2" t="s">
        <v>79</v>
      </c>
      <c r="D6" s="2" t="s">
        <v>80</v>
      </c>
      <c r="E6" s="2" t="s">
        <v>35</v>
      </c>
    </row>
    <row r="7" customFormat="false" ht="23.85" hidden="false" customHeight="false" outlineLevel="0" collapsed="false">
      <c r="A7" s="2" t="s">
        <v>81</v>
      </c>
      <c r="B7" s="2" t="s">
        <v>65</v>
      </c>
      <c r="C7" s="2" t="s">
        <v>82</v>
      </c>
      <c r="D7" s="2" t="s">
        <v>83</v>
      </c>
      <c r="E7" s="2" t="s">
        <v>84</v>
      </c>
    </row>
  </sheetData>
  <autoFilter ref="A1:E7"/>
  <conditionalFormatting sqref="E2:E500">
    <cfRule type="expression" priority="2" aboveAverage="0" equalAverage="0" bottom="0" percent="0" rank="0" text="" dxfId="6">
      <formula>OR(E2="Disabled",E2="Operational Risk")</formula>
    </cfRule>
    <cfRule type="expression" priority="3" aboveAverage="0" equalAverage="0" bottom="0" percent="0" rank="0" text="" dxfId="7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COMMUNICATION PERMISSION MATRIX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